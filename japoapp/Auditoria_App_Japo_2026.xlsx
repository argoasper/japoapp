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 sheetId="1" state="visible" r:id="rId3"/>
    <sheet name="Auditoria" sheetId="2" state="visible" r:id="rId4"/>
  </sheets>
  <definedNames>
    <definedName function="false" hidden="false" localSheetId="1" name="_xlnm.Print_Titles" vbProcedure="false">Auditoria!$3:$3</definedName>
    <definedName function="false" hidden="true" localSheetId="1" name="_xlnm._FilterDatabase" vbProcedure="false">Auditoria!$A$3:$H$50</definedName>
    <definedName function="false" hidden="false" localSheetId="0" name="_xlnm.Print_Area" vbProcedure="false">Resum!$B$1:$H$43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<sst xmlns="http://schemas.openxmlformats.org/spreadsheetml/2006/main" count="432" uniqueCount="234">
  <si>
    <t xml:space="preserve">RESUM EXECUTIU · Auditoria App Japó 2026</t>
  </si>
  <si>
    <t xml:space="preserve">JapoTrip v2.9 · app nativa iOS/iPadOS (.swiftpm) · 13 fitxers Swift · 235 llocs · 10 ciutats  |  Els recomptes es recalculen sols en canviar la columna Estat de la pestanya Auditoria.</t>
  </si>
  <si>
    <t xml:space="preserve">INCIDÈNCIES TOTALS</t>
  </si>
  <si>
    <t xml:space="preserve">CRÍTIQUES</t>
  </si>
  <si>
    <t xml:space="preserve">ACCIÓ IMMEDIATA (P1)</t>
  </si>
  <si>
    <t xml:space="preserve">RESOLTES</t>
  </si>
  <si>
    <t xml:space="preserve">Incidències per severitat</t>
  </si>
  <si>
    <t xml:space="preserve">Incidències per tipus</t>
  </si>
  <si>
    <t xml:space="preserve">Severitat</t>
  </si>
  <si>
    <t xml:space="preserve">Nre.</t>
  </si>
  <si>
    <t xml:space="preserve">%</t>
  </si>
  <si>
    <t xml:space="preserve">Tipus</t>
  </si>
  <si>
    <t xml:space="preserve">Crític</t>
  </si>
  <si>
    <t xml:space="preserve">Fallada funcional (Bug)</t>
  </si>
  <si>
    <t xml:space="preserve">Alt</t>
  </si>
  <si>
    <t xml:space="preserve">Error d'usabilitat (UX)</t>
  </si>
  <si>
    <t xml:space="preserve">Mitjà</t>
  </si>
  <si>
    <t xml:space="preserve">Error de disseny (UI)</t>
  </si>
  <si>
    <t xml:space="preserve">Baix</t>
  </si>
  <si>
    <t xml:space="preserve">Rendiment/Lentitud</t>
  </si>
  <si>
    <t xml:space="preserve">TOTAL</t>
  </si>
  <si>
    <t xml:space="preserve">Incidències per prioritat d'acció</t>
  </si>
  <si>
    <t xml:space="preserve">Estat de resolució</t>
  </si>
  <si>
    <t xml:space="preserve">Prioritat</t>
  </si>
  <si>
    <t xml:space="preserve">Estat</t>
  </si>
  <si>
    <t xml:space="preserve">P1 - Immediata</t>
  </si>
  <si>
    <t xml:space="preserve">Pendent</t>
  </si>
  <si>
    <t xml:space="preserve">P2 - Curt termini</t>
  </si>
  <si>
    <t xml:space="preserve">En procés</t>
  </si>
  <si>
    <t xml:space="preserve">P3 - Millora futura</t>
  </si>
  <si>
    <t xml:space="preserve">Resolt</t>
  </si>
  <si>
    <t xml:space="preserve">Com fer servir aquest full</t>
  </si>
  <si>
    <t xml:space="preserve">1. A la pestanya «Auditoria», canvia la columna Estat (desplegable: Pendent / En procés / Resolt).</t>
  </si>
  <si>
    <t xml:space="preserve">2. Els KPI i les taules d'aquest resum es recalculen automàticament amb COUNTIF.</t>
  </si>
  <si>
    <t xml:space="preserve">3. Ordre de treball recomanat: les 10 incidències P1 primer (bloquegen l'ús real de l'app durant el viatge).</t>
  </si>
  <si>
    <t xml:space="preserve">4. La columna «Mòdul / Pàgina» indica el fitxer i la línia exactes on es troba cada punt.</t>
  </si>
  <si>
    <t xml:space="preserve">5. Guanys ràpids amb molt d'impacte: UX-002 (filtre d'imprescindibles) i UX-003 (vista per dia).</t>
  </si>
  <si>
    <t xml:space="preserve">AUDITORIA DE PRODUCTE · App Japó 2026 (JapoTrip v2.9 · iOS/iPadOS natiu)</t>
  </si>
  <si>
    <t xml:space="preserve">Abast: revisió completa de codi (13 fitxers Swift, 1.549 línies), dades (data.json · 235 llocs · 10 ciutats) i experiència d'usuari · Auditor: Claude (Cowork) · Data: 04/09/2026 · 47 incidències</t>
  </si>
  <si>
    <t xml:space="preserve">ID</t>
  </si>
  <si>
    <t xml:space="preserve">Mòdul / Pàgina</t>
  </si>
  <si>
    <t xml:space="preserve">Tipus d'incidència</t>
  </si>
  <si>
    <t xml:space="preserve">Descripció de la fallada</t>
  </si>
  <si>
    <t xml:space="preserve">Nivell de Severitat</t>
  </si>
  <si>
    <t xml:space="preserve">Proposta de millora / Solució</t>
  </si>
  <si>
    <t xml:space="preserve">Prioritat d'acció</t>
  </si>
  <si>
    <t xml:space="preserve">BUG-001</t>
  </si>
  <si>
    <t xml:space="preserve">Pantalla de ciutat · Botó "Ruta completa" · CityDetailView.swift:114</t>
  </si>
  <si>
    <t xml:space="preserve">Les rutes es generen com una única URL /maps/dir/ amb TOTES les parades: Tòquio 38, Kyoto 40, Osaka 51, Kamakura 17, Hakone 17, Hiroshima 13. Google Maps limita una ruta a 10 punts (origen + destinació + 8 intermedis), així que en obrir-la l'app de Maps descarta parades silenciosament o mostra un error. El botó més prominent de la pantalla de ciutat no funciona a les 6 ciutats amb més llocs, que són 195 dels 235 llocs de l'itinerari.</t>
  </si>
  <si>
    <t xml:space="preserve">Partir cada ruta en trams de 10 parades màxim des de transform.py i emetre'ls com a botons separats ("Tram 1/4 · parades 1-10"). Afegir una comprovació al validador del pipeline que rebutgi qualsevol ruta amb més de 10 parades. Alternativa complementària: un botó "Ruta amb els llocs pendents d'avui" que construeixi la URL en temps real amb un màxim de 10 llocs no visitats.</t>
  </si>
  <si>
    <t xml:space="preserve">BUG-002</t>
  </si>
  <si>
    <t xml:space="preserve">Kyoto · Enllaços de mapes · data.json (camps google/apple)</t>
  </si>
  <si>
    <t xml:space="preserve">24 dels 40 llocs de Kyoto tenen la consulta de Google/Apple Maps escrita en català i amb parèntesis: "Castell de Fushimi Momoyama (exterior)", "Camí del Filòsof (Tetsugaku no Michi)", "Parc dels micos Iwatayama", "Santuari Kifune", "Bosc de bambú d'Arashiyama". Com que els enllaços són cerques de text (query=...) i no coordenades, des del Japó la cerca no troba res o retorna un lloc equivocat. La ruta completa de Kyoto arrossega les mateixes 24 parades en català.</t>
  </si>
  <si>
    <t xml:space="preserve">Afegir un diccionari MANUAL_MAPQUERY_OVERRIDE a transform.py (mateix patró que MANUAL_WIKI_OVERRIDE) amb el topònim oficial en rōmaji/anglès i sense parèntesis ("Fushimi Momoyama Castle", "Philosopher's Path Kyoto", "Iwatayama Monkey Park", "Kifune Shrine"). A mitjà termini, substituir la cerca per text per enllaços de coordenades (maps.apple.com/?ll=lat,lng i google.com/maps/search/?api=1&amp;query=lat,lng), que no depenen de com estigui escrit el nom.</t>
  </si>
  <si>
    <t xml:space="preserve">BUG-003</t>
  </si>
  <si>
    <t xml:space="preserve">Pantalla de ciutat · "Ordena per proximitat" · CityDetailView.swift:60-69</t>
  </si>
  <si>
    <t xml:space="preserve">Osaka (51 llocs) i Himeji (9) no tenen CAP coordenada al data.json: lat/lng són null als 60 llocs. El botó s'activa igualment, canvia el text a "Ordenat per proximitat", i no ordena res ni mostra cap distància, sense explicar per què. Pitjor: distance() retorna .greatestFiniteMagnitude per a tots els llocs i Array.sort de Swift NO és estable, així que la crida pot reordenar la llista de manera arbitrària i fer perdre a l'usuari l'ordre de l'itinerari que tenia a la pantalla.</t>
  </si>
  <si>
    <t xml:space="preserve">1) Al pipeline, geocodificar les 91 coordenades que falten (Osaka 51, Nara 10, Himeji 9, Nikko 11, Wakayama 6, Hiroshima 3, Hakone 1) — es poden obtenir de la mateixa Viquipèdia o de Nominatim en lot. 2) Mentrestant, deshabilitar el botó amb el text "Sense coordenades en aquesta ciutat" quan menys de 2 llocs tinguin lat/lng. 3) Fer l'ordenació determinista amb desempat per seq: sort { (d0, p0.seq) &lt; (d1, p1.seq) }.</t>
  </si>
  <si>
    <t xml:space="preserve">BUG-004</t>
  </si>
  <si>
    <t xml:space="preserve">Pantalla de ciutat · Proximitat parcial · CityDetailView.swift:60-75</t>
  </si>
  <si>
    <t xml:space="preserve">A les ciutats amb coordenades parcials (Nikko 3/14, Nara 11/21, Wakayama 5/11, Hiroshima 13/16, Hakone 17/18) els llocs sense lat/lng cauen al final en ordre indeterminat i sense etiqueta de distància, sense cap avís que la llista ordenada està incompleta. L'usuari pot concloure que un lloc és lluny quan simplement no té dades.</t>
  </si>
  <si>
    <t xml:space="preserve">Separar la llista en dues seccions amb capçalera quan la proximitat està activa: "Ordenats per distància (N)" i "Sense ubicació (M)", aquesta segona sempre en ordre d'itinerari. Complementa BUG-003.</t>
  </si>
  <si>
    <t xml:space="preserve">BUG-005</t>
  </si>
  <si>
    <t xml:space="preserve">Pantalla de ciutat · Estat del botó de proximitat · CityDetailView.swift:163-183</t>
  </si>
  <si>
    <t xml:space="preserve">geoActive es posa a true en el mateix moment de prémer, abans de tenir cap posició, i no torna mai a false si l'usuari denega el permís o si la localització falla. El botó anuncia "Ordenat per proximitat" mentre la llista continua exactament en l'ordre de l'itinerari: l'app diu que ha fet una cosa que no ha fet.</t>
  </si>
  <si>
    <t xml:space="preserve">Mantenir tres estats explícits al botó: inactiu → "Ordena per proximitat"; localitzant → "Localitzant…" amb spinner i sense canviar la llista; actiu → "Ordenat per proximitat" només quan locationProvider.location != nil. Posar geoActive = false quan arribi authDenied o didFailWithError.</t>
  </si>
  <si>
    <t xml:space="preserve">BUG-006</t>
  </si>
  <si>
    <t xml:space="preserve">Ubicació · LocationProvider.swift:18-57</t>
  </si>
  <si>
    <t xml:space="preserve">isLocating només es tanca amb didUpdateLocations o didFailWithError. En interiors, al metro o en un soterrani —situacions constants en aquest viatge— requestLocation pot no retornar res durant molt de temps i l'spinner queda girant indefinidament sense missatge. A més, authDenied mai no es reinicia a false: si l'usuari va denegar el permís i després l'activa a Configuració, l'avís "Cal activar la ubicació" es queda a la pantalla per sempre durant aquella sessió.</t>
  </si>
  <si>
    <t xml:space="preserve">Afegir un temporitzador de 12 s dins de request() que posi isLocating = false i publiqui un missatge "No s'ha pogut obtenir la ubicació, torna-ho a provar a l'exterior". Recalcular authDenied a partir de manager.authorizationStatus a l'inici de cada request() en comptes de deixar-lo enganxat.</t>
  </si>
  <si>
    <t xml:space="preserve">BUG-007</t>
  </si>
  <si>
    <t xml:space="preserve">Fitxa de lloc · Lectura en veu alta · SpeechReader.swift:16-36</t>
  </si>
  <si>
    <t xml:space="preserve">speak() crida stop() —que fa setActive(false)— i immediatament setActive(true). Però stopSpeaking(at: .immediate) dispara el callback didCancel de manera ASÍNCRONA, i aquest callback torna a fer setActive(false) i isSpeaking = false DESPRÉS que la nova locució ja hagi començat. Resultat: prémer "llegir" dos cops seguits (o canviar de lloc mentre parla) pot tallar l'àudio i deixar el botó dient "Torna a llegir en veu alta" mentre el telèfon encara està parlant.</t>
  </si>
  <si>
    <t xml:space="preserve">Guardar la referència de la utterance actual i ignorar els callbacks didFinish/didCancel que no li corresponguin: guard utterance === currentUtterance else { return }. Alternativament, posar un flag isRestarting durant la represa.</t>
  </si>
  <si>
    <t xml:space="preserve">BUG-008</t>
  </si>
  <si>
    <t xml:space="preserve">Càrrega de dades · DataStore.swift:82-101</t>
  </si>
  <si>
    <t xml:space="preserve">decodeResiliently() protegeix places i cities amb FailableDecodable, però catMeta ([String: CategoryInfo]) es descodifica en bloc dins del mateix RawAppData. Una sola categoria mal formada en una edició futura del data.json fa fallar tot el decode i retorna un AppData completament buit — exactament el desastre que aquesta funció es va escriure per evitar. El mateix passa amb catOrder i cityOrder si desapareixen.</t>
  </si>
  <si>
    <t xml:space="preserve">Descodificar catMeta com a [String: FailableDecodable&lt;CategoryInfo&gt;] i fer compactMapValues, i declarar catOrder/cityOrder opcionals amb ?? [] . Afegir un test al validador de transform.py que comprovi que tota categoria usada a cats existeix a catMeta.</t>
  </si>
  <si>
    <t xml:space="preserve">BUG-009</t>
  </si>
  <si>
    <t xml:space="preserve">Pantalla de ciutat · Ordre personalitzat · DataStore.swift:122</t>
  </si>
  <si>
    <t xml:space="preserve">orderedPlaces(for:) construeix el diccionari amb Dictionary(uniqueKeysWithValues:), que provoca un fatal error (l'app peta) si dos llocs de la mateixa ciutat comparteixen id. Actualment no n'hi ha cap duplicat (verificat: 235 ids únics), però tot el decodificador resilient existeix precisament perquè s'espera que el data.json es pugui editar a mà en el futur — i aquesta línia converteix aquell escenari en un tancament immediat en obrir la ciutat.</t>
  </si>
  <si>
    <t xml:space="preserve">Canviar per Dictionary(natural.map { ($0.id, $0) }, uniquingKeysWith: { first, _ in first }) i registrar un avís per consola quan hi hagi col·lisió.</t>
  </si>
  <si>
    <t xml:space="preserve">BUG-010</t>
  </si>
  <si>
    <t xml:space="preserve">Arrencada · DataStore.swift:32-41</t>
  </si>
  <si>
    <t xml:space="preserve">Si data.json no es pot llegir o no encaixa amb l'estructura de nivell superior, l'app arrenca amb un AppData buit i mostra la pantalla d'inici sense cap caixa i el text "0 de 0 llocs visitats", sense cap missatge d'error. L'usuari veu una app trencada i no sap si el problema és seu, de la connexió o del contingut.</t>
  </si>
  <si>
    <t xml:space="preserve">Publicar un estat loadError a DataStore i, quan places està buit, mostrar una pantalla d'error amb el motiu tècnic, el nombre d'entrades descartades i un botó "Torna a provar". El missatge per consola actual no arriba mai a l'usuari final.</t>
  </si>
  <si>
    <t xml:space="preserve">BUG-011</t>
  </si>
  <si>
    <t xml:space="preserve">Global · Persistència dels check-ins · DataStore.swift:7-9</t>
  </si>
  <si>
    <t xml:space="preserve">L'estat "visitat" viu només a UserDefaults del dispositiu. Reinstal·lar l'app, restaurar el telèfon, canviar de mòbil o passar de l'iPhone a l'iPad (Package.swift declara suport per a .phone i .pad) fa perdre tots els llocs marcats, sense còpia de seguretat ni exportació. En un viatge de setmanes amb 235 llocs és una pèrdua irreversible de la feina de l'usuari.</t>
  </si>
  <si>
    <t xml:space="preserve">Substituir UserDefaults per NSUbiquitousKeyValueStore (iCloud key-value, sincronitza iPhone↔iPad automàticament i sobreviu a la reinstal·lació; el canvi són poques línies perquè l'API és pràcticament idèntica) i afegir a la pantalla d'inici un botó "Exporta el progrés" que generi un JSON compartible, amb la importació corresponent.</t>
  </si>
  <si>
    <t xml:space="preserve">BUG-012</t>
  </si>
  <si>
    <t xml:space="preserve">Fitxa de lloc · Foto de Viquipèdia · WikipediaImageFetcher.swift:96-127</t>
  </si>
  <si>
    <t xml:space="preserve">Quan no hi ha enllaç wiki curat —122 dels 235 llocs— searchOnce fa una cerca a la Viquipèdia anglesa amb limit=1 i agafa CEGAMENT el primer resultat, i en mostra la foto i l'enllaç com si fossin del lloc. Amb noms genèrics o en català ("Parc Maruyama", "Mercat de Nishiki", "Santuari Horikoshi") és fàcil que aparegui la foto d'un lloc que no té res a veure. En una app de viatge, on la foto serveix justament per confirmar que ets al lloc correcte, una foto errònia és pitjor que cap foto.</t>
  </si>
  <si>
    <t xml:space="preserve">Demanar limit=5 i validar el candidat abans d'acceptar-lo: consultar-ne les coordenades (prop=coordinates) i descartar tot article fora d'una capsa que cobreixi el Japó, com ja fa el validador de transform.py amb els llocs. Si cap candidat valida, no mostrar res. Marcar visualment amb un peu discret "Foto de la Viquipèdia (cerca automàtica)" les que no venen d'un enllaç curat.</t>
  </si>
  <si>
    <t xml:space="preserve">PERF-001</t>
  </si>
  <si>
    <t xml:space="preserve">Global · Imatges · CityExtras.swift + PlaceDetailSheet.swift:27</t>
  </si>
  <si>
    <t xml:space="preserve">TOT el contingut visual de l'app es baixa en viu: 10 fotos de ciutat de 1200 px (pantalla d'inici i capçalera de cada ciutat) i la foto de cada fitxa des de l'API de Viquipèdia. No es guarda res al bundle ni a cap memòria cau pròpia: només queda la URLCache per defecte del sistema (~20 MB de disc), que 10 imatges grans ja esgoten. Al Japó sense dades —el cas d'ús principal declarat del projecte— la pantalla d'inici queda amb 10 requadres de degradat de color i cap fitxa mostra foto. Amb dades en roaming, són desenes de MB baixats repetidament.</t>
  </si>
  <si>
    <t xml:space="preserve">1) Incloure les 10 fotos de ciutat com a assets dins d'Assets.xcassets (són fixes i conegudes; ~1-2 MB en total redimensionades a 800 px) i deixar l'AsyncImage només com a reserva. 2) Configurar una URLCache pròpia gran a l'arrencada (URLCache.shared = URLCache(memoryCapacity: 50MB, diskCapacity: 300MB)) amb requestCachePolicy = .returnCacheDataElseLoad. 3) Afegir un botó "Descarrega les fotos per fer servir sense connexió" que precarregui les 235 fitxes abans del viatge i mostri el progrés.</t>
  </si>
  <si>
    <t xml:space="preserve">PERF-002</t>
  </si>
  <si>
    <t xml:space="preserve">Pantalla d'inici · ContentView.swift:22-33 + DataStore.swift:111-113</t>
  </si>
  <si>
    <t xml:space="preserve">store.places(for:) filtra i ORDENA els 235 llocs a cada crida. CityTile la crida dues vegades per caixa (la vista i la previsualització d'arrossegament) i visitedCount(for:) en fa una tercera passada: ~30 recorreguts complets del dataset per cada redibuixat de la pantalla d'inici. I com que visited és @Published, tota la pantalla es redibuixa cada vegada que es marca un lloc com a vist.</t>
  </si>
  <si>
    <t xml:space="preserve">Precalcular a DataStore.init un diccionari placesByCity: [String: [Place]] ja ordenat per seq, i mantenir un comptador de visitats per ciutat que s'actualitzi incrementalment a toggleVisited() en lloc de recomptar. És un canvi contingut i elimina tota la feina repetida.</t>
  </si>
  <si>
    <t xml:space="preserve">PERF-003</t>
  </si>
  <si>
    <t xml:space="preserve">Pantalla de ciutat · Cerca · CityDetailView.swift:52-59</t>
  </si>
  <si>
    <t xml:space="preserve">filtered és una propietat calculada que s'avalua a cada redibuixat: per a cada caràcter escrit fa una concatenació i un folding(options: .diacriticInsensitive) del nom + descripció + adreça de tots els llocs de la ciutat (3 assignacions de string per lloc). A Osaka són 51 llocs amb descripcions llargues per pulsació.</t>
  </si>
  <si>
    <t xml:space="preserve">Precalcular un camp searchHaystack ja normalitzat per lloc a DataStore.init (una sola vegada per a tot el dataset) i afegir un debounce de ~200 ms al camp de cerca.</t>
  </si>
  <si>
    <t xml:space="preserve">PERF-004</t>
  </si>
  <si>
    <t xml:space="preserve">Global · DataStore.swift:8</t>
  </si>
  <si>
    <t xml:space="preserve">El didSet de visited serialitza i escriu el conjunt sencer a UserDefaults a cada toc del cercle de "vist". És una escriptura síncrona a disc dins de l'actualització de la interfície.</t>
  </si>
  <si>
    <t xml:space="preserve">Agrupar les escriptures amb un debounce curt (0,5 s) o passar-ho a un desat explícit quan l'app entra en segon pla (scenePhase). Encara més rellevant si s'implementa la sincronització d'iCloud de BUG-011.</t>
  </si>
  <si>
    <t xml:space="preserve">PERF-005</t>
  </si>
  <si>
    <t xml:space="preserve">Fitxa de lloc · PlaceDetailSheet.swift:109-113</t>
  </si>
  <si>
    <t xml:space="preserve">El .task de la fitxa fa fins a 3 crides seqüencials a la Viquipèdia amb timeoutInterval = 8 s cadascuna (resum de l'enllaç curat + cerca per nom + cerca per nom i ciutat): fins a 24 s d'espera, sense cap indicador de càrrega ni missatge d'error. El resultat no es guarda enlloc, així que tornar a obrir la mateixa fitxa repeteix totes les crides des de zero.</t>
  </si>
  <si>
    <t xml:space="preserve">Baixar el timeout a 4 s, llançar les dues cerques en paral·lel amb async let, guardar el resultat en una memòria cau en disc indexada per place.id, i saltar-se la crida quan NWPathMonitor indiqui que no hi ha connexió (mostrant en el seu lloc un marcador "Foto no disponible sense connexió").</t>
  </si>
  <si>
    <t xml:space="preserve">UX-001</t>
  </si>
  <si>
    <t xml:space="preserve">Pantalla d'inici · ContentView.swift</t>
  </si>
  <si>
    <t xml:space="preserve">No existeix cap cerca global: el .searchable només viu dins de CityDetailView. Per trobar "Kinkaku-ji" cal saber prèviament que és a Kyoto, entrar-hi i cercar-hi. Amb 235 llocs repartits en 10 ciutats i zones, buscar un lloc concret és el gest més freqüent durant un viatge i ara mateix requereix endevinar la ciutat.</t>
  </si>
  <si>
    <t xml:space="preserve">Afegir .searchable a la pantalla d'inici que cerqui a tots els llocs i mostri els resultats en una llista amb el nom de la ciutat i el dia a cada fila, obrint directament la fitxa. Reutilitza el mateix camp normalitzat de PERF-003.</t>
  </si>
  <si>
    <t xml:space="preserve">UX-002</t>
  </si>
  <si>
    <t xml:space="preserve">Pantalla de ciutat · Filtres · CityDetailView.swift:139-161</t>
  </si>
  <si>
    <t xml:space="preserve">S'han curat manualment 75 llocs com a "Imprescindible", 40 com a "Recomanat" i 32 com a "Si hi ha temps", però la interfície només ho mostra com una estrella groga de 11 pt a la targeta: no hi ha cap filtre per prioritat. Amb un dia curt a Osaka, l'usuari ha de repassar visualment 51 targetes per localitzar els 16 imprescindibles. És la funcionalitat amb més valor pràctic de tot el dataset i és inaccessible.</t>
  </si>
  <si>
    <t xml:space="preserve">Afegir un xip "⭐ Imprescindibles" fixat com a primera opció de la fila de filtres (i, opcionalment, "Recomanats"), que filtri per priority. És un canvi de poques línies sobre el filtre de categoria que ja existeix i multiplica la utilitat de la curadoria feta.</t>
  </si>
  <si>
    <t xml:space="preserve">UX-003</t>
  </si>
  <si>
    <t xml:space="preserve">Global · Camp "day" no aprofitat · data.json</t>
  </si>
  <si>
    <t xml:space="preserve">Les dades contenen 40 blocs de dia perfectament redactats ("Dia 3 · Estació de Tòquio, Palau Imperial, Shimbashi/Shiodome i Odaiba"), però només apareixen com una línia de text gris dins de la fitxa. No hi ha ni vista ni filtre per dia. Durant el viatge, la pregunta real de cada matí és "què toca avui", i l'app no la sap respondre: obliga a entrar a la ciutat i deduir-ho lloc per lloc.</t>
  </si>
  <si>
    <t xml:space="preserve">Agrupar la llista de cada ciutat per dia amb Section i capçaleres enganxades (el camp seq ja garanteix l'ordre correcte), i afegir un selector de dia a la capçalera. Com a evolució, una pestanya "Avui" on l'usuari tria en quin dia de l'itinerari es troba.</t>
  </si>
  <si>
    <t xml:space="preserve">UX-004</t>
  </si>
  <si>
    <t xml:space="preserve">Pantalla de ciutat · Capçalera fixa · CityDetailView.swift:105-200</t>
  </si>
  <si>
    <t xml:space="preserve">La capçalera no es desplaça i acumula foto (130 pt) + botons de ruta (1 o 2) + fila de xips + selector segmentat + botó de proximitat: entre 380 i 420 pt. En un iPhone SE o 13 mini queden uns 150-200 pt útils per a la llista, és a dir una targeta i mitja visible; a Nikko, Nara i Wakayama (dues rutes) encara menys. En horitzontal —orientació declarada com a suportada— pràcticament no queda llista.</t>
  </si>
  <si>
    <t xml:space="preserve">Deixar que la foto de capçalera i els botons de ruta es desplacin amb la llista (dins d'un Section de capçalera) i mantenir fixos només els xips de categoria i el selector d'estat, que són els controls que s'usen mentre es fa scroll. Alternativament, col·lapsar la foto en fer scroll cap avall.</t>
  </si>
  <si>
    <t xml:space="preserve">UX-005</t>
  </si>
  <si>
    <t xml:space="preserve">Fitxa de lloc · PlaceDetailSheet.swift:163-175</t>
  </si>
  <si>
    <t xml:space="preserve">El botó principal de la fitxa, "Llegir la descripció", fa dues coses alhora: revela el text i ENGEGA la síntesi de veu. El text del botó suggereix llegir-la un mateix. Com que SpeechReader configura la sessió d'àudio com a .playback, el telèfon es posa a parlar en català dins d'un temple, un restaurant o el metro fins i tot amb el commutador de silenci activat, i l'única manera d'aturar-ho és trobar el botó que ara diu "Atura la lectura".</t>
  </si>
  <si>
    <t xml:space="preserve">Separar les dues accions: el botó desplega el text ("Mostra la descripció") i una icona d'altaveu al costat inicia la lectura. Canviar la categoria d'àudio a .ambient perquè el commutador de silenci es respecti, i recordar l'última preferència de l'usuari.</t>
  </si>
  <si>
    <t xml:space="preserve">UX-006</t>
  </si>
  <si>
    <t xml:space="preserve">Fitxa de lloc · PlaceDetailSheet.swift:146-176</t>
  </si>
  <si>
    <t xml:space="preserve">La descripció està amagada darrere d'un botó per defecte. És el contingut amb més valor de l'app —s'hi ha invertit una ronda sencera ampliant-les amb context històric— i requereix un toc addicional a cadascun dels 235 llocs.</t>
  </si>
  <si>
    <t xml:space="preserve">Mostrar sempre les 3 primeres línies amb lineLimit(3) i un enllaç "Llegeix-ne més" que l'expandeixi, en lloc d'amagar-la del tot.</t>
  </si>
  <si>
    <t xml:space="preserve">UX-007</t>
  </si>
  <si>
    <t xml:space="preserve">Pantalla de ciutat · Targeta de lloc · CityDetailView.swift:286-291</t>
  </si>
  <si>
    <t xml:space="preserve">La fila és un VStack amb .onTapGesture, sense cap indicador de navegació (chevron) i amb tres botons a dins que sí que semblen tocables. Res no suggereix que tocar la targeta obri la fitxa amb l'horari, la durada, el consell i la foto: l'usuari pot fer servir l'app pensant que la llista és tot el que hi ha.</t>
  </si>
  <si>
    <t xml:space="preserve">Convertir la fila en un NavigationLink o Button real amb chevron de divulgació a la dreta, que a més aporta l'efecte de premuda i el tractament correcte per a VoiceOver (veure UX-020).</t>
  </si>
  <si>
    <t xml:space="preserve">UX-008</t>
  </si>
  <si>
    <t xml:space="preserve">Pantalla de ciutat · Mode reordenar · CityDetailView.swift:256-270</t>
  </si>
  <si>
    <t xml:space="preserve">En entrar al mode de reordenació es mostra sempre basePlaces, és a dir la llista SENSE filtres, encara que l'usuari acabi de filtrar per categoria o de cercar: el que veu no té relació amb el que veia un segon abans. La barra de cerca continua visible i escrivint-hi no passa res. Tampoc es pot obrir cap fitxa des d'aquest mode.</t>
  </si>
  <si>
    <t xml:space="preserve">Ocultar la barra de cerca amb .searchable(...).disabled(isReordering) o retirar-la del tot mentre es reordena, i mostrar un avís a la capçalera: "Mode reordenar: es mostren els N llocs de la ciutat, sense filtres".</t>
  </si>
  <si>
    <t xml:space="preserve">UX-009</t>
  </si>
  <si>
    <t xml:space="preserve">Global · Ordre personalitzat · DataStore.swift:135-155</t>
  </si>
  <si>
    <t xml:space="preserve">placeOrder i cityOrder es desen a UserDefaults per sempre i no hi ha cap manera de tornar a l'ordre original de l'itinerari. Un arrossegament accidental a la llista de 51 llocs d'Osaka és, a la pràctica, irreversible.</t>
  </si>
  <si>
    <t xml:space="preserve">Afegir "Restaura l'ordre de l'itinerari" al menú de la pantalla de ciutat (esborra placeOrder[city]) i el mateix a la pantalla d'inici per a cityOrder.</t>
  </si>
  <si>
    <t xml:space="preserve">UX-010</t>
  </si>
  <si>
    <t xml:space="preserve">Pantalla de ciutat · Estat dels filtres · CityDetailView.swift:10-15</t>
  </si>
  <si>
    <t xml:space="preserve">selectedCat, statusFilter, searchText i geoActive són @State locals de la vista: sortir de la ciutat i tornar-hi els reinicia tots. Durant un dia de visites, l'anada i tornada entre la llista i la fitxa és constant, i el filtre "Pendents" —el més útil sobre el terreny— s'ha de tornar a activar cada vegada.</t>
  </si>
  <si>
    <t xml:space="preserve">Traslladar aquests quatre valors a DataStore indexats per ciutat, o com a mínim conservar statusFilter globalment entre pantalles.</t>
  </si>
  <si>
    <t xml:space="preserve">UX-011</t>
  </si>
  <si>
    <t xml:space="preserve">Fitxa i targeta · Camps buits amb text de farciment · data.json</t>
  </si>
  <si>
    <t xml:space="preserve">128 dels 235 llocs tenen hours = "No indicat als arxius" i 51 (tot Osaka) address = "No indicada als arxius". Com que la comprovació del codi és !place.address.isEmpty, aquests textos es pinten com si fossin informació real, amb la icona de rellotge i de xinxeta al costat. La targeta d'Osaka mostra una xinxeta seguida de "No indicada als arxius" en els 51 llocs.</t>
  </si>
  <si>
    <t xml:space="preserve">Normalitzar aquests farcits a null al transform.py i mantenir la comprovació d'existència al codi, de manera que la fila desaparegui. A la fitxa, substituir la fila d'horari absent per un enllaç d'acció: "Consulta l'horari a Google Maps".</t>
  </si>
  <si>
    <t xml:space="preserve">UX-012</t>
  </si>
  <si>
    <t xml:space="preserve">Contingut · Horaris · data.json (camp hours)</t>
  </si>
  <si>
    <t xml:space="preserve">Més enllà de com es presenta, el 54% dels llocs (128 de 235) no té cap horari real. En una app pensada per fer servir sobre el terreny, això vol dir arribar a un temple o un museu i trobar-lo tancat, que és precisament el problema que l'app hauria d'evitar.</t>
  </si>
  <si>
    <t xml:space="preserve">Completar hours com a mínim per als 75 llocs marcats com a imprescindibles, amb el mateix patró de diccionari manual verificat que ja s'ha fet servir per a wiki i les descripcions (MANUAL_HOURS_OVERRIDE). Mentre no hi siguin, mostrar un avís "Comprova l'horari abans d'anar-hi" en lloc del text de farciment.</t>
  </si>
  <si>
    <t xml:space="preserve">UX-013</t>
  </si>
  <si>
    <t xml:space="preserve">Contingut · Descripcions · data.json (camp desc)</t>
  </si>
  <si>
    <t xml:space="preserve">18 llocs tenen descripcions de menys de 60 caràcters (Gate Tower Building, Spa World, Glico Man, Hozenji Yokocho, Rikuro Ojisan no Mise, Naniwa Kuishinbo Yokocho, Temple Katsuoji…), gairebé tots a Osaka, mentre la resta del dataset ja té 3-5 frases amb context històric. Obrint fitxes seguides el contrast es nota molt i les curtes semblen un error.</t>
  </si>
  <si>
    <t xml:space="preserve">Ampliar-les amb el mateix MANUAL_DESC_OVERRIDE de transform.py que ja es va fer servir per als 19 de la ronda anterior; és el mateix procediment, ja rodat.</t>
  </si>
  <si>
    <t xml:space="preserve">UX-014</t>
  </si>
  <si>
    <t xml:space="preserve">Fitxa de lloc · Camps no mostrats · PlaceDetailSheet.swift:117-144</t>
  </si>
  <si>
    <t xml:space="preserve">El data.json porta 200 valors diferents de tags ("Barri històric", "Santuari", "Natura"…) i les etiquetes priorityLabel "Recomanat" i "Si hi ha temps" (72 llocs) que no apareixen enlloc de la interfície. A més, la fitxa i la targeta mostren només la PRIMERA categoria (cats.first), tot i que 17 llocs en tenen més d'una i el filtre sí que les té en compte totes: un lloc pot aparèixer sota un filtre de categoria que la seva pròpia targeta no mostra.</t>
  </si>
  <si>
    <t xml:space="preserve">Mostrar totes les categories com a etiquetes a la fitxa i afegir-hi el priorityLabel complet (no només l'estrella dels imprescindibles). Els tags poden anar com a text secundari o alimentar la cerca (veure UX-015).</t>
  </si>
  <si>
    <t xml:space="preserve">UX-015</t>
  </si>
  <si>
    <t xml:space="preserve">Pantalla de ciutat · Abast de la cerca · CityDetailView.swift:52-59</t>
  </si>
  <si>
    <t xml:space="preserve">La cerca només mira nom + descripció + adreça. Queden fora notes (235 consells únics, com "Millor a primera hora o al vespre per evitar multituds"), tags i day: cercar "primera hora", "onsen" o "Dia 3" no retorna res tot i que la informació hi és.</t>
  </si>
  <si>
    <t xml:space="preserve">Incloure notes, tags i day al camp de cerca precalculat que proposa PERF-003.</t>
  </si>
  <si>
    <t xml:space="preserve">UX-016</t>
  </si>
  <si>
    <t xml:space="preserve">Global · Visió de conjunt</t>
  </si>
  <si>
    <t xml:space="preserve">L'únic indicador global és la línia "X de 235 llocs visitats" de la capçalera d'inici. No hi ha cap pantalla que mostri el progrés per ciutat, quins imprescindibles queden pendents o un repàs del que ja s'ha vist — que és, a més, el record del viatge un cop tornat a casa.</t>
  </si>
  <si>
    <t xml:space="preserve">Afegir una pantalla "Progrés" accessible des de la capçalera: barra per ciutat (les dades ja hi són a visitedCount), llista d'imprescindibles pendents, i total de dies coberts. Encaixa de manera natural amb UX-002 i UX-003.</t>
  </si>
  <si>
    <t xml:space="preserve">UX-017</t>
  </si>
  <si>
    <t xml:space="preserve">Pantalla de ciutat · Marcar com a vist · PlaceRow.swift:127-134</t>
  </si>
  <si>
    <t xml:space="preserve">El cercle canvia d'estat immediatament amb un sol toc, sense retorn hàptic ni possibilitat de desfer. Combinat amb la mida reduïda del botó (veure UX-019), és fàcil marcar el lloc equivocat mentre es camina i no adonar-se'n.</t>
  </si>
  <si>
    <t xml:space="preserve">Afegir UIImpactFeedbackGenerator(style: .light) al toc i un avís temporal de 3 s amb acció "Desfés" a la part inferior. El filtre "Vistos" ja permet localitzar l'error, però només si l'usuari sap que s'ha equivocat.</t>
  </si>
  <si>
    <t xml:space="preserve">UX-018</t>
  </si>
  <si>
    <t xml:space="preserve">Pantalla d'inici · ContentView.swift:80-82</t>
  </si>
  <si>
    <t xml:space="preserve">L'única explicació de la reordenació de caixes és el text "Mantén premuda una caixa i arrossega-la per reordenar-la" a 11 pt en gris secundari, sota el títol. És l'única pista d'una funció gens evident, i queda a la zona que la vista descarta primer.</t>
  </si>
  <si>
    <t xml:space="preserve">Passar-ho a mida caption amb una icona, o —millor— substituir-ho per un botó explícit "Reordena" a la barra de navegació, igual que ja fa la pantalla de ciutat, i eliminar el text.</t>
  </si>
  <si>
    <t xml:space="preserve">UX-019</t>
  </si>
  <si>
    <t xml:space="preserve">Global · Mides tàctils · PlaceRow.swift:130-133, 151 i CityDetailView.swift:313-314</t>
  </si>
  <si>
    <t xml:space="preserve">Tres controls clau queden per sota dels 44×44 pt mínims que recomana Apple: el cercle de "vist" (font .title2, uns 28 pt d'àrea efectiva amb buttonStyle(.plain)), les icones de mapes de la targeta (34 pt) i els xips de categoria (uns 32 pt d'alçada). L'ús real d'aquesta app és amb una sola mà, caminant, i al Japó a l'hivern sovint amb guants. Fallar el toc del cercle vol dir marcar com a visitat el lloc del costat.</t>
  </si>
  <si>
    <t xml:space="preserve">Aplicar .frame(minWidth: 44, minHeight: 44) i .contentShape(Rectangle()) als tres controls; no cal fer créixer la icona, només l'àrea sensible. Augmentar també el padding vertical dels xips a 11.</t>
  </si>
  <si>
    <t xml:space="preserve">UX-020</t>
  </si>
  <si>
    <t xml:space="preserve">Global · VoiceOver · PlaceRow.swift + ContentView.swift</t>
  </si>
  <si>
    <t xml:space="preserve">El botó de "vist" és una imatge sense accessibilityLabel: VoiceOver el llegeix com "cercle". Les caixes de ciutat i la barra de progrés tampoc en tenen (es llegeixen com a fragments solts: nom, nom japonès, res). I com que la targeta de lloc és un VStack amb onTapGesture i no un Button, VoiceOver no l'anuncia com a element activable, de manera que la fitxa és directament inaccessible.</t>
  </si>
  <si>
    <t xml:space="preserve">Afegir accessibilityLabel("Marcar com a vist")/accessibilityValue a la casella, accessibilityElement(children: .combine) amb una etiqueta resum a CityTile i a la targeta, i convertir la targeta en Button/NavigationLink (mateix canvi que UX-007, que ho resol tot alhora).</t>
  </si>
  <si>
    <t xml:space="preserve">UX-021</t>
  </si>
  <si>
    <t xml:space="preserve">Pantalla de ciutat · Llocs visitats · PlaceRow.swift:97-98, 138</t>
  </si>
  <si>
    <t xml:space="preserve">Un lloc marcat com a vist acumula tres senyals de desaparició alhora: color .secondary, ratllat i opacity(0.55) a TOTA la targeta. El text acaba molt per sota de la relació de contrast 4,5:1 i, a ple sol al carrer —la situació d'ús habitual—, és pràcticament il·legible. Consultar què deia un lloc que ja has visitat és un cas d'ús perfectament normal.</t>
  </si>
  <si>
    <t xml:space="preserve">Eliminar l'opacity global de la targeta i quedar-se només amb la icona verda i, com a molt, un fons verd molt subtil. Mantenir el text del nom a color primari.</t>
  </si>
  <si>
    <t xml:space="preserve">UX-022</t>
  </si>
  <si>
    <t xml:space="preserve">Pantalla d'inici i capçalera de ciutat · ContentView.swift:99,162 i CityDetailView.swift:246</t>
  </si>
  <si>
    <t xml:space="preserve">Les caixes de ciutat tenen alçada fixa de 172 pt i la foto de capçalera 130 pt, però Font.custom(_:size:) sí que escala amb la mida de text del sistema. Amb l'opció "Text més gran" activada, el nom de la ciutat (26 pt de base) i el nom en japonès creixen dins d'un contenidor que no creix: el text es retalla o trepitja la barra de progrés.</t>
  </si>
  <si>
    <t xml:space="preserve">Substituir .frame(height:) per .frame(minHeight:) i fer servir @ScaledMetric per a l'alçada de les caixes, o limitar l'escalat de la tipografia amb .dynamicTypeSize(...DynamicTypeSize.accessibility1) en aquests dos elements concrets.</t>
  </si>
  <si>
    <t xml:space="preserve">UI-001</t>
  </si>
  <si>
    <t xml:space="preserve">Global · Tipografia · Theme.swift:42-63</t>
  </si>
  <si>
    <t xml:space="preserve">Font.app() fixa "Helvetica-Bold" per a TOTS els estils, de 34 pt fins a 11 pt: títols, cossos de text, llegendes i peus són tots en negreta. Sense contrast de pes no hi ha jerarquia tipogràfica —tot crida igual— i els blocs de descripció, que ara són de 3-5 frases, es fan pesats de llegir. El propi comentari del fitxer ho descriu com una "prova temporal" pendent de revertir.</t>
  </si>
  <si>
    <t xml:space="preserve">Reservar Helvetica-Bold per a títols i èmfasi i fer servir Helvetica (regular) per al cos, els peus i les llegendes; appRegular ja existeix i no s'utilitza gairebé. Opció més sòlida a llarg termini: passar a .system amb Font.TextStyle, que dona Dynamic Type correcte, suport CJK coherent i l'aspecte natiu d'iOS que buscava el disseny.</t>
  </si>
  <si>
    <t xml:space="preserve">UI-002</t>
  </si>
  <si>
    <t xml:space="preserve">Pantalla d'inici i capçalera · Text japonès · CityExtras.swift</t>
  </si>
  <si>
    <r>
      <rPr>
        <sz val="10"/>
        <color rgb="FF1F2933"/>
        <rFont val="Arial"/>
        <family val="0"/>
        <charset val="1"/>
      </rPr>
      <t xml:space="preserve">Helvetica no té glifs CJK, així que "</t>
    </r>
    <r>
      <rPr>
        <sz val="10"/>
        <color rgb="FF1F2933"/>
        <rFont val="Noto Sans CJK SC"/>
        <family val="2"/>
      </rPr>
      <t xml:space="preserve">東京</t>
    </r>
    <r>
      <rPr>
        <sz val="10"/>
        <color rgb="FF1F2933"/>
        <rFont val="Arial"/>
        <family val="0"/>
        <charset val="1"/>
      </rPr>
      <t xml:space="preserve">", "</t>
    </r>
    <r>
      <rPr>
        <sz val="10"/>
        <color rgb="FF1F2933"/>
        <rFont val="Noto Sans CJK SC"/>
        <family val="2"/>
      </rPr>
      <t xml:space="preserve">京都</t>
    </r>
    <r>
      <rPr>
        <sz val="10"/>
        <color rgb="FF1F2933"/>
        <rFont val="Arial"/>
        <family val="0"/>
        <charset val="1"/>
      </rPr>
      <t xml:space="preserve">" i la resta de noms japonesos es rendereixen amb la font de reserva del sistema (Hiragino), amb un pes i una alçada visiblement diferents del text llatí que tenen just a sobre. És un detall petit però apareix a les 10 caixes de la primera pantalla.</t>
    </r>
  </si>
  <si>
    <t xml:space="preserve">Definir un estil propi per al text japonès (per exemple .system(size:) amb un pes escollit) en comptes de deixar que caigui a la reserva, o resoldre-ho de rel passant a la font del sistema (veure UI-001).</t>
  </si>
  <si>
    <t xml:space="preserve">UI-003</t>
  </si>
  <si>
    <t xml:space="preserve">Targeta i fitxa · Botons de mapes · PlaceRow.swift:40-64,142-157 i PlaceDetailSheet.swift:197-216</t>
  </si>
  <si>
    <t xml:space="preserve">MapBrandIcon(.google) és un rectangle BLANC amb una xinxeta: sobre el fons clar de la targeta amb prou feines es distingeix del propi fons, i a la fitxa és un quadrat blanc de 40 pt centrat dins d'una caixa grisa, sense cap text. Cap dels dos botons de mapes porta etiqueta visible —només accessibilityLabel—, així que "com hi arribo" queda representat per dues icones ambigües. L'encàrrec original demanava explícitament un botó PROMINENT per obrir la ubicació a Google Maps.</t>
  </si>
  <si>
    <t xml:space="preserve">A la fitxa, convertir-los en botons amb text: icona + "Google Maps" / "Apple Maps", amb el de Google com a botó principal (borderedProminent). Afegir una vora o una ombra suau a la icona blanca de Google perquè es retalli del fons en mode clar i no enlluerni en mode fosc.</t>
  </si>
  <si>
    <t xml:space="preserve">UI-004</t>
  </si>
  <si>
    <t xml:space="preserve">Global · Color d'accent · JapoTripApp.swift:15</t>
  </si>
  <si>
    <t xml:space="preserve">L'app fixa .tint(#C0392B) —el vermell de Tòquio— de manera global, mentre cada pantalla de ciutat aplica el seu propi color a xips i botons. El resultat és que dins de Kyoto (marró #8c332b) o Hiroshima (gris blau #5b6b78) el selector segmentat, el cursor de la cerca i altres controls del sistema es queden vermells, barrejant dues paletes a la mateixa pantalla.</t>
  </si>
  <si>
    <t xml:space="preserve">Aplicar .tint(tint) a nivell de CityDetailView perquè tota la pantalla adopti el color de la ciutat, i deixar el vermell només com a accent de la pantalla d'inici.</t>
  </si>
  <si>
    <t xml:space="preserve">UI-005</t>
  </si>
  <si>
    <t xml:space="preserve">Pantalla de ciutat · Estat buit · CityDetailView.swift:273-284</t>
  </si>
  <si>
    <t xml:space="preserve">"Cap resultat amb aquests filtres" no ofereix cap sortida. L'usuari ha de recordar per si mateix quins dels tres filtres independents (xip de categoria, selector d'estat i text de cerca) té actius i desfer-los un a un; el xip actiu pot fins i tot haver quedat fora de la vista al scroll horitzontal.</t>
  </si>
  <si>
    <t xml:space="preserve">Afegir un botó "Neteja els filtres" dins de l'estat buit que reinicialitzi els tres alhora, i mostrar de manera permanent un resum del filtratge actiu ("Temples · Pendents · "nishiki"") sobre la llista.</t>
  </si>
  <si>
    <t xml:space="preserve">UI-006</t>
  </si>
  <si>
    <t xml:space="preserve">Pantalla de ciutat · Xips de categoria · CityDetailView.swift:32-42</t>
  </si>
  <si>
    <t xml:space="preserve">Els xips es generen per a totes les categories presents, sense mínim: "castell" només té 1 lloc a tot l'itinerari i "transport" 4. A ciutats petites com Himeji (9 llocs) la fila de filtres és pràcticament decorativa i ocupa espai vertical que ja és escàs (veure UX-004).</t>
  </si>
  <si>
    <t xml:space="preserve">Amagar els xips amb menys de 2 llocs a la ciutat i afegir el recompte a l'etiqueta ("⛩️ Temples 12"), que a més fa previsible el resultat abans de prémer.</t>
  </si>
  <si>
    <t xml:space="preserve">UI-007</t>
  </si>
  <si>
    <t xml:space="preserve">Pantalla d'inici · Arrossegament · ContentView.swift:28-36</t>
  </si>
  <si>
    <t xml:space="preserve">El tancament de previsualització de .draggable conté un efecte secundari (.onAppear { draggingCityId = cityId }): és una mutació d'estat dins d'un ViewBuilder, un patró fràgil que depèn de quan SwiftUI decideixi construir la previsualització. A més, la previsualització torna a construir una CityTile completa, cosa que dispara una segona descàrrega de la mateixa foto de 1200 px.</t>
  </si>
  <si>
    <t xml:space="preserve">Fer servir el paràmetre de la previsualització només per dibuixar (una versió lleugera sense AsyncImage, amb el color de la ciutat) i gestionar l'estat d'arrossegament amb el callback corresponent o amb onChange.</t>
  </si>
  <si>
    <t xml:space="preserve">UI-008</t>
  </si>
  <si>
    <t xml:space="preserve">Global · Orientació · Package.swift:29-34</t>
  </si>
  <si>
    <t xml:space="preserve">Package.swift declara .landscapeLeft i .landscapeRight també per a iPhone, però tots els layouts estan pensats en vertical: en horitzontal la capçalera fixa de la pantalla de ciutat ocupa gairebé tota l'alçada útil (veure UX-004) i la foto de capçalera, amb alçada fixa de 130 pt i scaledToFill, es deforma i es retalla en excés.</t>
  </si>
  <si>
    <t xml:space="preserve">O bé limitar l'iPhone a vertical (deixant l'horitzontal només per a iPad, on hi ha espai de sobres), o bé adaptar la capçalera amb horizontalSizeClass/verticalSizeClass perquè en horitzontal passi a una disposició de dues columnes: filtres a l'esquerra, llista a la dreta.</t>
  </si>
</sst>
</file>

<file path=xl/styles.xml><?xml version="1.0" encoding="utf-8"?>
<styleSheet xmlns="http://schemas.openxmlformats.org/spreadsheetml/2006/main">
  <numFmts count="3">
    <numFmt numFmtId="164" formatCode="General"/>
    <numFmt numFmtId="165" formatCode="General"/>
    <numFmt numFmtId="166" formatCode="0.0%"/>
  </numFmts>
  <fonts count="2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9"/>
      <color rgb="FF5B6B78"/>
      <name val="Arial"/>
      <family val="0"/>
      <charset val="1"/>
    </font>
    <font>
      <b val="true"/>
      <sz val="9"/>
      <color rgb="FFFFFFFF"/>
      <name val="Arial"/>
      <family val="0"/>
      <charset val="1"/>
    </font>
    <font>
      <b val="true"/>
      <sz val="26"/>
      <color rgb="FF2C4A63"/>
      <name val="Arial"/>
      <family val="0"/>
      <charset val="1"/>
    </font>
    <font>
      <b val="true"/>
      <sz val="26"/>
      <color rgb="FF8B0000"/>
      <name val="Arial"/>
      <family val="0"/>
      <charset val="1"/>
    </font>
    <font>
      <b val="true"/>
      <sz val="26"/>
      <color rgb="FF9C4221"/>
      <name val="Arial"/>
      <family val="0"/>
      <charset val="1"/>
    </font>
    <font>
      <b val="true"/>
      <sz val="26"/>
      <color rgb="FF1E6B34"/>
      <name val="Arial"/>
      <family val="0"/>
      <charset val="1"/>
    </font>
    <font>
      <b val="true"/>
      <sz val="11"/>
      <color rgb="FFFFFFFF"/>
      <name val="Arial"/>
      <family val="0"/>
      <charset val="1"/>
    </font>
    <font>
      <b val="true"/>
      <sz val="9"/>
      <color rgb="FF44555F"/>
      <name val="Arial"/>
      <family val="0"/>
      <charset val="1"/>
    </font>
    <font>
      <sz val="10"/>
      <color rgb="FF1F2933"/>
      <name val="Arial"/>
      <family val="0"/>
      <charset val="1"/>
    </font>
    <font>
      <b val="true"/>
      <sz val="10"/>
      <color rgb="FF1F2933"/>
      <name val="Arial"/>
      <family val="0"/>
      <charset val="1"/>
    </font>
    <font>
      <b val="true"/>
      <sz val="10"/>
      <color rgb="FFFFFFFF"/>
      <name val="Arial"/>
      <family val="0"/>
      <charset val="1"/>
    </font>
    <font>
      <sz val="9"/>
      <color rgb="FF44555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FFFFFF"/>
      <name val="Arial"/>
      <family val="0"/>
      <charset val="1"/>
    </font>
    <font>
      <sz val="10"/>
      <color rgb="FF1F2933"/>
      <name val="Noto Sans CJK SC"/>
      <family val="2"/>
    </font>
  </fonts>
  <fills count="9">
    <fill>
      <patternFill patternType="none"/>
    </fill>
    <fill>
      <patternFill patternType="gray125"/>
    </fill>
    <fill>
      <patternFill patternType="solid">
        <fgColor rgb="FF1F3243"/>
        <bgColor rgb="FF1F2933"/>
      </patternFill>
    </fill>
    <fill>
      <patternFill patternType="solid">
        <fgColor rgb="FF2C4A63"/>
        <bgColor rgb="FF1A5276"/>
      </patternFill>
    </fill>
    <fill>
      <patternFill patternType="solid">
        <fgColor rgb="FF8B0000"/>
        <bgColor rgb="FF800000"/>
      </patternFill>
    </fill>
    <fill>
      <patternFill patternType="solid">
        <fgColor rgb="FF9C4221"/>
        <bgColor rgb="FF993366"/>
      </patternFill>
    </fill>
    <fill>
      <patternFill patternType="solid">
        <fgColor rgb="FF1E6B34"/>
        <bgColor rgb="FF3F6B3F"/>
      </patternFill>
    </fill>
    <fill>
      <patternFill patternType="solid">
        <fgColor rgb="FFF4F6F8"/>
        <bgColor rgb="FFF9F9F9"/>
      </patternFill>
    </fill>
    <fill>
      <patternFill patternType="solid">
        <fgColor rgb="FF5B6B78"/>
        <bgColor rgb="FF44555F"/>
      </patternFill>
    </fill>
  </fills>
  <borders count="2">
    <border diagonalUp="false" diagonalDown="false">
      <left/>
      <right/>
      <top/>
      <bottom/>
      <diagonal/>
    </border>
    <border diagonalUp="false" diagonalDown="false">
      <left style="thin">
        <color rgb="FFD5DBE0"/>
      </left>
      <right style="thin">
        <color rgb="FFD5DBE0"/>
      </right>
      <top style="thin">
        <color rgb="FFD5DBE0"/>
      </top>
      <bottom style="thin">
        <color rgb="FFD5DB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5" fontId="7" fillId="7" borderId="1" xfId="0" applyFont="true" applyBorder="true" applyAlignment="true" applyProtection="false">
      <alignment horizontal="center" vertical="center" textRotation="0" wrapText="false" indent="0" shrinkToFit="false"/>
      <protection locked="true" hidden="false"/>
    </xf>
    <xf numFmtId="165" fontId="8" fillId="7" borderId="1" xfId="0" applyFont="true" applyBorder="true" applyAlignment="true" applyProtection="false">
      <alignment horizontal="center" vertical="center" textRotation="0" wrapText="false" indent="0" shrinkToFit="false"/>
      <protection locked="true" hidden="false"/>
    </xf>
    <xf numFmtId="165" fontId="9" fillId="7" borderId="1" xfId="0" applyFont="true" applyBorder="true" applyAlignment="true" applyProtection="false">
      <alignment horizontal="center" vertical="center" textRotation="0" wrapText="false" indent="0" shrinkToFit="false"/>
      <protection locked="true" hidden="false"/>
    </xf>
    <xf numFmtId="165" fontId="10" fillId="7"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left" vertical="center" textRotation="0" wrapText="false" indent="1" shrinkToFit="false"/>
      <protection locked="true" hidden="false"/>
    </xf>
    <xf numFmtId="164" fontId="12" fillId="7" borderId="1" xfId="0" applyFont="true" applyBorder="true" applyAlignment="true" applyProtection="false">
      <alignment horizontal="left" vertical="center" textRotation="0" wrapText="false" indent="1"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1" shrinkToFit="false"/>
      <protection locked="true" hidden="false"/>
    </xf>
    <xf numFmtId="165" fontId="14" fillId="0" borderId="1" xfId="0" applyFont="true" applyBorder="true" applyAlignment="true" applyProtection="false">
      <alignment horizontal="center" vertical="center" textRotation="0" wrapText="false" indent="0" shrinkToFit="fals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left" vertical="center" textRotation="0" wrapText="false" indent="1" shrinkToFit="false"/>
      <protection locked="true" hidden="false"/>
    </xf>
    <xf numFmtId="165" fontId="15" fillId="8" borderId="1" xfId="0" applyFont="true" applyBorder="true" applyAlignment="true" applyProtection="false">
      <alignment horizontal="center" vertical="center" textRotation="0" wrapText="false" indent="0" shrinkToFit="false"/>
      <protection locked="true" hidden="false"/>
    </xf>
    <xf numFmtId="166" fontId="15" fillId="8"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1" shrinkToFit="false"/>
      <protection locked="true" hidden="false"/>
    </xf>
    <xf numFmtId="164" fontId="20" fillId="2" borderId="0" xfId="0" applyFont="true" applyBorder="true" applyAlignment="true" applyProtection="false">
      <alignment horizontal="left" vertical="center" textRotation="0" wrapText="false" indent="1" shrinkToFit="false"/>
      <protection locked="true" hidden="false"/>
    </xf>
    <xf numFmtId="164" fontId="5" fillId="7" borderId="0" xfId="0" applyFont="true" applyBorder="true" applyAlignment="true" applyProtection="false">
      <alignment horizontal="left" vertical="center" textRotation="0" wrapText="false" indent="1"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6">
    <dxf>
      <fill>
        <patternFill patternType="solid">
          <fgColor rgb="FF2C4A63"/>
          <bgColor rgb="FF000000"/>
        </patternFill>
      </fill>
    </dxf>
    <dxf>
      <fill>
        <patternFill patternType="solid">
          <bgColor rgb="FF000000"/>
        </patternFill>
      </fill>
    </dxf>
    <dxf>
      <fill>
        <patternFill patternType="solid">
          <fgColor rgb="FF1F2933"/>
          <bgColor rgb="FF000000"/>
        </patternFill>
      </fill>
    </dxf>
    <dxf>
      <fill>
        <patternFill patternType="solid">
          <fgColor rgb="FFFFFFFF"/>
          <bgColor rgb="FF000000"/>
        </patternFill>
      </fill>
    </dxf>
    <dxf>
      <fill>
        <patternFill patternType="solid">
          <fgColor rgb="FFDCEBF7"/>
          <bgColor rgb="FF000000"/>
        </patternFill>
      </fill>
    </dxf>
    <dxf>
      <fill>
        <patternFill patternType="solid">
          <fgColor rgb="FFE1E4F5"/>
          <bgColor rgb="FF000000"/>
        </patternFill>
      </fill>
    </dxf>
    <dxf>
      <fill>
        <patternFill patternType="solid">
          <fgColor rgb="FFEDE0F2"/>
          <bgColor rgb="FF000000"/>
        </patternFill>
      </fill>
    </dxf>
    <dxf>
      <fill>
        <patternFill patternType="solid">
          <fgColor rgb="FFFBD7D7"/>
          <bgColor rgb="FF000000"/>
        </patternFill>
      </fill>
    </dxf>
    <dxf>
      <fill>
        <patternFill patternType="solid">
          <fgColor rgb="FF1A5276"/>
          <bgColor rgb="FF000000"/>
        </patternFill>
      </fill>
    </dxf>
    <dxf>
      <fill>
        <patternFill patternType="solid">
          <fgColor rgb="FF37398C"/>
          <bgColor rgb="FF000000"/>
        </patternFill>
      </fill>
    </dxf>
    <dxf>
      <fill>
        <patternFill patternType="solid">
          <fgColor rgb="FF5B2C6F"/>
          <bgColor rgb="FF000000"/>
        </patternFill>
      </fill>
    </dxf>
    <dxf>
      <fill>
        <patternFill patternType="solid">
          <fgColor rgb="FF8B0000"/>
          <bgColor rgb="FF000000"/>
        </patternFill>
      </fill>
    </dxf>
    <dxf>
      <fill>
        <patternFill patternType="solid">
          <fgColor rgb="FFE2E8EC"/>
          <bgColor rgb="FF000000"/>
        </patternFill>
      </fill>
    </dxf>
    <dxf>
      <fill>
        <patternFill patternType="solid">
          <fgColor rgb="FFF8CBCB"/>
          <bgColor rgb="FF000000"/>
        </patternFill>
      </fill>
    </dxf>
    <dxf>
      <fill>
        <patternFill patternType="solid">
          <fgColor rgb="FFFBDFC4"/>
          <bgColor rgb="FF000000"/>
        </patternFill>
      </fill>
    </dxf>
    <dxf>
      <fill>
        <patternFill patternType="solid">
          <fgColor rgb="FFFDF0B8"/>
          <bgColor rgb="FF000000"/>
        </patternFill>
      </fill>
    </dxf>
    <dxf>
      <fill>
        <patternFill patternType="solid">
          <fgColor rgb="FF44555F"/>
          <bgColor rgb="FF000000"/>
        </patternFill>
      </fill>
    </dxf>
    <dxf>
      <fill>
        <patternFill patternType="solid">
          <fgColor rgb="FF7A5A00"/>
          <bgColor rgb="FF000000"/>
        </patternFill>
      </fill>
    </dxf>
    <dxf>
      <fill>
        <patternFill patternType="solid">
          <fgColor rgb="FF9C4221"/>
          <bgColor rgb="FF000000"/>
        </patternFill>
      </fill>
    </dxf>
    <dxf>
      <fill>
        <patternFill patternType="solid">
          <fgColor rgb="FFE7F0E7"/>
          <bgColor rgb="FF000000"/>
        </patternFill>
      </fill>
    </dxf>
    <dxf>
      <fill>
        <patternFill patternType="solid">
          <fgColor rgb="FF3F6B3F"/>
          <bgColor rgb="FF000000"/>
        </patternFill>
      </fill>
    </dxf>
    <dxf>
      <fill>
        <patternFill patternType="solid">
          <fgColor rgb="FFCDEBD3"/>
          <bgColor rgb="FF000000"/>
        </patternFill>
      </fill>
    </dxf>
    <dxf>
      <fill>
        <patternFill patternType="solid">
          <fgColor rgb="FFEDEFF1"/>
          <bgColor rgb="FF000000"/>
        </patternFill>
      </fill>
    </dxf>
    <dxf>
      <fill>
        <patternFill patternType="solid">
          <fgColor rgb="FF1E6B34"/>
          <bgColor rgb="FF000000"/>
        </patternFill>
      </fill>
    </dxf>
    <dxf>
      <fill>
        <patternFill patternType="solid">
          <fgColor rgb="FF5B6B78"/>
          <bgColor rgb="FF000000"/>
        </patternFill>
      </fill>
    </dxf>
    <dxf>
      <font>
        <name val="Arial"/>
        <charset val="1"/>
        <family val="0"/>
        <b val="1"/>
        <color rgb="FF8B0000"/>
        <sz val="10"/>
      </font>
      <fill>
        <patternFill>
          <bgColor rgb="FFF8CBCB"/>
        </patternFill>
      </fill>
    </dxf>
    <dxf>
      <font>
        <name val="Arial"/>
        <charset val="1"/>
        <family val="0"/>
        <b val="1"/>
        <color rgb="FF9C4221"/>
        <sz val="10"/>
      </font>
      <fill>
        <patternFill>
          <bgColor rgb="FFFBDFC4"/>
        </patternFill>
      </fill>
    </dxf>
    <dxf>
      <font>
        <name val="Arial"/>
        <charset val="1"/>
        <family val="0"/>
        <b val="1"/>
        <color rgb="FF7A5A00"/>
        <sz val="10"/>
      </font>
      <fill>
        <patternFill>
          <bgColor rgb="FFFDF0B8"/>
        </patternFill>
      </fill>
    </dxf>
    <dxf>
      <font>
        <name val="Arial"/>
        <charset val="1"/>
        <family val="0"/>
        <b val="1"/>
        <color rgb="FF44555F"/>
        <sz val="10"/>
      </font>
      <fill>
        <patternFill>
          <bgColor rgb="FFE2E8EC"/>
        </patternFill>
      </fill>
    </dxf>
    <dxf>
      <font>
        <name val="Arial"/>
        <charset val="1"/>
        <family val="0"/>
        <b val="1"/>
        <color rgb="FF3F6B3F"/>
        <sz val="10"/>
      </font>
      <fill>
        <patternFill>
          <bgColor rgb="FFE7F0E7"/>
        </patternFill>
      </fill>
    </dxf>
    <dxf>
      <font>
        <name val="Arial"/>
        <charset val="1"/>
        <family val="0"/>
        <b val="1"/>
        <color rgb="FF1E6B34"/>
        <sz val="10"/>
      </font>
      <fill>
        <patternFill>
          <bgColor rgb="FFCDEBD3"/>
        </patternFill>
      </fill>
    </dxf>
    <dxf>
      <font>
        <name val="Arial"/>
        <charset val="1"/>
        <family val="0"/>
        <b val="1"/>
        <color rgb="FF5B6B78"/>
        <sz val="10"/>
      </font>
      <fill>
        <patternFill>
          <bgColor rgb="FFEDEFF1"/>
        </patternFill>
      </fill>
    </dxf>
    <dxf>
      <font>
        <name val="Arial"/>
        <charset val="1"/>
        <family val="0"/>
        <color rgb="FF8B0000"/>
        <sz val="10"/>
      </font>
      <fill>
        <patternFill>
          <bgColor rgb="FFFBD7D7"/>
        </patternFill>
      </fill>
    </dxf>
    <dxf>
      <font>
        <name val="Arial"/>
        <charset val="1"/>
        <family val="0"/>
        <color rgb="FF37398C"/>
        <sz val="10"/>
      </font>
      <fill>
        <patternFill>
          <bgColor rgb="FFE1E4F5"/>
        </patternFill>
      </fill>
    </dxf>
    <dxf>
      <font>
        <name val="Arial"/>
        <charset val="1"/>
        <family val="0"/>
        <color rgb="FF1A5276"/>
        <sz val="10"/>
      </font>
      <fill>
        <patternFill>
          <bgColor rgb="FFDCEBF7"/>
        </patternFill>
      </fill>
    </dxf>
    <dxf>
      <font>
        <name val="Arial"/>
        <charset val="1"/>
        <family val="0"/>
        <color rgb="FF5B2C6F"/>
        <sz val="10"/>
      </font>
      <fill>
        <patternFill>
          <bgColor rgb="FFEDE0F2"/>
        </patternFill>
      </fill>
    </dxf>
  </dxfs>
  <colors>
    <indexedColors>
      <rgbColor rgb="FF000000"/>
      <rgbColor rgb="FFFFFFFF"/>
      <rgbColor rgb="FFFF0000"/>
      <rgbColor rgb="FF00FF00"/>
      <rgbColor rgb="FF0000FF"/>
      <rgbColor rgb="FFEDEFF1"/>
      <rgbColor rgb="FFFF00FF"/>
      <rgbColor rgb="FF00FFFF"/>
      <rgbColor rgb="FF8B0000"/>
      <rgbColor rgb="FF1E6B34"/>
      <rgbColor rgb="FF000080"/>
      <rgbColor rgb="FF7A5A00"/>
      <rgbColor rgb="FF800080"/>
      <rgbColor rgb="FF44555F"/>
      <rgbColor rgb="FFD9D9D9"/>
      <rgbColor rgb="FF878787"/>
      <rgbColor rgb="FFE2E8EC"/>
      <rgbColor rgb="FFC0504D"/>
      <rgbColor rgb="FFFDF0B8"/>
      <rgbColor rgb="FFDCEBF7"/>
      <rgbColor rgb="FF5B2C6F"/>
      <rgbColor rgb="FFFF8080"/>
      <rgbColor rgb="FF0066CC"/>
      <rgbColor rgb="FFD5DBE0"/>
      <rgbColor rgb="FF000080"/>
      <rgbColor rgb="FFFF00FF"/>
      <rgbColor rgb="FFF4F6F8"/>
      <rgbColor rgb="FF00FFFF"/>
      <rgbColor rgb="FF800080"/>
      <rgbColor rgb="FF800000"/>
      <rgbColor rgb="FF008080"/>
      <rgbColor rgb="FF0000FF"/>
      <rgbColor rgb="FF00CCFF"/>
      <rgbColor rgb="FFE7F0E7"/>
      <rgbColor rgb="FFCDEBD3"/>
      <rgbColor rgb="FFFBDFC4"/>
      <rgbColor rgb="FFE1E4F5"/>
      <rgbColor rgb="FFFBD7D7"/>
      <rgbColor rgb="FFEDE0F2"/>
      <rgbColor rgb="FFF8CBCB"/>
      <rgbColor rgb="FF4F81BD"/>
      <rgbColor rgb="FF33CCCC"/>
      <rgbColor rgb="FF9BBB59"/>
      <rgbColor rgb="FFF9F9F9"/>
      <rgbColor rgb="FFFF9900"/>
      <rgbColor rgb="FFFF6600"/>
      <rgbColor rgb="FF5B6B78"/>
      <rgbColor rgb="FF969696"/>
      <rgbColor rgb="FF1A5276"/>
      <rgbColor rgb="FF3F6B3F"/>
      <rgbColor rgb="FF2C4A63"/>
      <rgbColor rgb="FF1F2933"/>
      <rgbColor rgb="FF9C4221"/>
      <rgbColor rgb="FF993366"/>
      <rgbColor rgb="FF37398C"/>
      <rgbColor rgb="FF1F32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Incidències per severitat</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Resum!$B$9:$B$12</c:f>
              <c:strCache>
                <c:ptCount val="4"/>
                <c:pt idx="0">
                  <c:v>Crític</c:v>
                </c:pt>
                <c:pt idx="1">
                  <c:v>Alt</c:v>
                </c:pt>
                <c:pt idx="2">
                  <c:v>Mitjà</c:v>
                </c:pt>
                <c:pt idx="3">
                  <c:v>Baix</c:v>
                </c:pt>
              </c:strCache>
            </c:strRef>
          </c:cat>
          <c:val>
            <c:numRef>
              <c:f>Resum!$C$9:$C$12</c:f>
              <c:numCache>
                <c:formatCode>General</c:formatCode>
                <c:ptCount val="4"/>
                <c:pt idx="0">
                  <c:v>4</c:v>
                </c:pt>
                <c:pt idx="1">
                  <c:v>11</c:v>
                </c:pt>
                <c:pt idx="2">
                  <c:v>19</c:v>
                </c:pt>
                <c:pt idx="3">
                  <c:v>13</c:v>
                </c:pt>
              </c:numCache>
            </c:numRef>
          </c:val>
        </c:ser>
        <c:gapWidth val="60"/>
        <c:overlap val="0"/>
        <c:axId val="20192659"/>
        <c:axId val="25218523"/>
      </c:barChart>
      <c:catAx>
        <c:axId val="201926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218523"/>
        <c:crosses val="autoZero"/>
        <c:auto val="1"/>
        <c:lblAlgn val="ctr"/>
        <c:lblOffset val="100"/>
        <c:noMultiLvlLbl val="0"/>
      </c:catAx>
      <c:valAx>
        <c:axId val="2521852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19265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Incidències per tipus</a:t>
            </a:r>
          </a:p>
        </c:rich>
      </c:tx>
      <c:overlay val="0"/>
      <c:spPr>
        <a:noFill/>
        <a:ln w="0">
          <a:noFill/>
        </a:ln>
      </c:spPr>
    </c:title>
    <c:autoTitleDeleted val="0"/>
    <c:plotArea>
      <c:barChart>
        <c:barDir val="bar"/>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Resum!$F$9:$F$12</c:f>
              <c:strCache>
                <c:ptCount val="4"/>
                <c:pt idx="0">
                  <c:v>Fallada funcional (Bug)</c:v>
                </c:pt>
                <c:pt idx="1">
                  <c:v>Error d'usabilitat (UX)</c:v>
                </c:pt>
                <c:pt idx="2">
                  <c:v>Error de disseny (UI)</c:v>
                </c:pt>
                <c:pt idx="3">
                  <c:v>Rendiment/Lentitud</c:v>
                </c:pt>
              </c:strCache>
            </c:strRef>
          </c:cat>
          <c:val>
            <c:numRef>
              <c:f>Resum!$G$9:$G$12</c:f>
              <c:numCache>
                <c:formatCode>General</c:formatCode>
                <c:ptCount val="4"/>
                <c:pt idx="0">
                  <c:v>12</c:v>
                </c:pt>
                <c:pt idx="1">
                  <c:v>22</c:v>
                </c:pt>
                <c:pt idx="2">
                  <c:v>8</c:v>
                </c:pt>
                <c:pt idx="3">
                  <c:v>5</c:v>
                </c:pt>
              </c:numCache>
            </c:numRef>
          </c:val>
        </c:ser>
        <c:gapWidth val="60"/>
        <c:overlap val="0"/>
        <c:axId val="58283253"/>
        <c:axId val="97606922"/>
      </c:barChart>
      <c:catAx>
        <c:axId val="5828325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606922"/>
        <c:crosses val="autoZero"/>
        <c:auto val="1"/>
        <c:lblAlgn val="ctr"/>
        <c:lblOffset val="100"/>
        <c:noMultiLvlLbl val="0"/>
      </c:catAx>
      <c:valAx>
        <c:axId val="9760692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28325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Prioritat d'acció</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Resum!$B$16:$B$18</c:f>
              <c:strCache>
                <c:ptCount val="3"/>
                <c:pt idx="0">
                  <c:v>P1 - Immediata</c:v>
                </c:pt>
                <c:pt idx="1">
                  <c:v>P2 - Curt termini</c:v>
                </c:pt>
                <c:pt idx="2">
                  <c:v>P3 - Millora futura</c:v>
                </c:pt>
              </c:strCache>
            </c:strRef>
          </c:cat>
          <c:val>
            <c:numRef>
              <c:f>Resum!$C$16:$C$18</c:f>
              <c:numCache>
                <c:formatCode>General</c:formatCode>
                <c:ptCount val="3"/>
                <c:pt idx="0">
                  <c:v>10</c:v>
                </c:pt>
                <c:pt idx="1">
                  <c:v>20</c:v>
                </c:pt>
                <c:pt idx="2">
                  <c:v>17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0</xdr:rowOff>
    </xdr:from>
    <xdr:to>
      <xdr:col>5</xdr:col>
      <xdr:colOff>121680</xdr:colOff>
      <xdr:row>33</xdr:row>
      <xdr:rowOff>115200</xdr:rowOff>
    </xdr:to>
    <xdr:graphicFrame>
      <xdr:nvGraphicFramePr>
        <xdr:cNvPr id="0" name="Chart 1"/>
        <xdr:cNvGraphicFramePr/>
      </xdr:nvGraphicFramePr>
      <xdr:xfrm>
        <a:off x="211320" y="4991040"/>
        <a:ext cx="4139640" cy="259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20</xdr:row>
      <xdr:rowOff>0</xdr:rowOff>
    </xdr:from>
    <xdr:to>
      <xdr:col>9</xdr:col>
      <xdr:colOff>122040</xdr:colOff>
      <xdr:row>33</xdr:row>
      <xdr:rowOff>115200</xdr:rowOff>
    </xdr:to>
    <xdr:graphicFrame>
      <xdr:nvGraphicFramePr>
        <xdr:cNvPr id="1" name="Chart 2"/>
        <xdr:cNvGraphicFramePr/>
      </xdr:nvGraphicFramePr>
      <xdr:xfrm>
        <a:off x="4229280" y="4991040"/>
        <a:ext cx="4139640" cy="259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0</xdr:rowOff>
    </xdr:from>
    <xdr:to>
      <xdr:col>5</xdr:col>
      <xdr:colOff>121680</xdr:colOff>
      <xdr:row>46</xdr:row>
      <xdr:rowOff>19800</xdr:rowOff>
    </xdr:to>
    <xdr:graphicFrame>
      <xdr:nvGraphicFramePr>
        <xdr:cNvPr id="2" name="Chart 3"/>
        <xdr:cNvGraphicFramePr/>
      </xdr:nvGraphicFramePr>
      <xdr:xfrm>
        <a:off x="211320" y="8039160"/>
        <a:ext cx="4139640" cy="259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4" min="3" style="0" width="12"/>
    <col collapsed="false" customWidth="true" hidden="false" outlineLevel="0" max="5" min="5" style="0" width="3"/>
    <col collapsed="false" customWidth="true" hidden="false" outlineLevel="0" max="6" min="6" style="0" width="30"/>
    <col collapsed="false" customWidth="true" hidden="false" outlineLevel="0" max="8" min="7" style="0" width="12"/>
    <col collapsed="false" customWidth="true" hidden="false" outlineLevel="0" max="10" min="9" style="0" width="3"/>
  </cols>
  <sheetData>
    <row r="1" customFormat="false" ht="33.75" hidden="false" customHeight="true" outlineLevel="0" collapsed="false">
      <c r="B1" s="1" t="s">
        <v>0</v>
      </c>
      <c r="C1" s="1"/>
      <c r="D1" s="1"/>
      <c r="E1" s="1"/>
      <c r="F1" s="1"/>
      <c r="G1" s="1"/>
      <c r="H1" s="1"/>
    </row>
    <row r="2" customFormat="false" ht="21.75" hidden="false" customHeight="true" outlineLevel="0" collapsed="false">
      <c r="B2" s="2" t="s">
        <v>1</v>
      </c>
      <c r="C2" s="2"/>
      <c r="D2" s="2"/>
      <c r="E2" s="2"/>
      <c r="F2" s="2"/>
      <c r="G2" s="2"/>
      <c r="H2" s="2"/>
    </row>
    <row r="4" customFormat="false" ht="19.5" hidden="false" customHeight="true" outlineLevel="0" collapsed="false">
      <c r="B4" s="3" t="s">
        <v>2</v>
      </c>
      <c r="C4" s="3"/>
      <c r="D4" s="4" t="s">
        <v>3</v>
      </c>
      <c r="E4" s="4"/>
      <c r="F4" s="5" t="s">
        <v>4</v>
      </c>
      <c r="G4" s="5"/>
      <c r="H4" s="6" t="s">
        <v>5</v>
      </c>
      <c r="I4" s="6"/>
    </row>
    <row r="5" customFormat="false" ht="43.5" hidden="false" customHeight="true" outlineLevel="0" collapsed="false">
      <c r="B5" s="7" t="n">
        <f aca="false">COUNTA(Auditoria!$A$4:$A$50)</f>
        <v>47</v>
      </c>
      <c r="C5" s="7"/>
      <c r="D5" s="8" t="n">
        <f aca="false">COUNTIF(Auditoria!$E$4:$E$50,"Crític")</f>
        <v>4</v>
      </c>
      <c r="E5" s="8"/>
      <c r="F5" s="9" t="n">
        <f aca="false">COUNTIF(Auditoria!$G$4:$G$50,"P1 - Immediata")</f>
        <v>10</v>
      </c>
      <c r="G5" s="9"/>
      <c r="H5" s="10" t="n">
        <f aca="false">COUNTIF(Auditoria!$H$4:$H$50,"Resolt")</f>
        <v>36</v>
      </c>
      <c r="I5" s="10"/>
    </row>
    <row r="7" customFormat="false" ht="21.75" hidden="false" customHeight="true" outlineLevel="0" collapsed="false">
      <c r="B7" s="11" t="s">
        <v>6</v>
      </c>
      <c r="C7" s="11"/>
      <c r="D7" s="11"/>
      <c r="F7" s="11" t="s">
        <v>7</v>
      </c>
      <c r="G7" s="11"/>
      <c r="H7" s="11"/>
    </row>
    <row r="8" customFormat="false" ht="15" hidden="false" customHeight="false" outlineLevel="0" collapsed="false">
      <c r="B8" s="12" t="s">
        <v>8</v>
      </c>
      <c r="C8" s="13" t="s">
        <v>9</v>
      </c>
      <c r="D8" s="13" t="s">
        <v>10</v>
      </c>
      <c r="F8" s="12" t="s">
        <v>11</v>
      </c>
      <c r="G8" s="13" t="s">
        <v>9</v>
      </c>
      <c r="H8" s="13" t="s">
        <v>10</v>
      </c>
    </row>
    <row r="9" customFormat="false" ht="18" hidden="false" customHeight="true" outlineLevel="0" collapsed="false">
      <c r="B9" s="14" t="s">
        <v>12</v>
      </c>
      <c r="C9" s="15" t="n">
        <f aca="false">COUNTIF(Auditoria!$E$4:$E$50,"Crític")</f>
        <v>4</v>
      </c>
      <c r="D9" s="16" t="n">
        <f aca="false">IFERROR(C9/COUNTA(Auditoria!$A$4:$A$50),0)</f>
        <v>0.0851063829787234</v>
      </c>
      <c r="F9" s="14" t="s">
        <v>13</v>
      </c>
      <c r="G9" s="15" t="n">
        <f aca="false">COUNTIF(Auditoria!$C$4:$C$50,"Fallada funcional (Bug)")</f>
        <v>12</v>
      </c>
      <c r="H9" s="16" t="n">
        <f aca="false">IFERROR(G9/COUNTA(Auditoria!$A$4:$A$50),0)</f>
        <v>0.25531914893617</v>
      </c>
    </row>
    <row r="10" customFormat="false" ht="18" hidden="false" customHeight="true" outlineLevel="0" collapsed="false">
      <c r="B10" s="14" t="s">
        <v>14</v>
      </c>
      <c r="C10" s="15" t="n">
        <f aca="false">COUNTIF(Auditoria!$E$4:$E$50,"Alt")</f>
        <v>11</v>
      </c>
      <c r="D10" s="16" t="n">
        <f aca="false">IFERROR(C10/COUNTA(Auditoria!$A$4:$A$50),0)</f>
        <v>0.234042553191489</v>
      </c>
      <c r="F10" s="14" t="s">
        <v>15</v>
      </c>
      <c r="G10" s="15" t="n">
        <f aca="false">COUNTIF(Auditoria!$C$4:$C$50,"Error d'usabilitat (UX)")</f>
        <v>22</v>
      </c>
      <c r="H10" s="16" t="n">
        <f aca="false">IFERROR(G10/COUNTA(Auditoria!$A$4:$A$50),0)</f>
        <v>0.468085106382979</v>
      </c>
    </row>
    <row r="11" customFormat="false" ht="18" hidden="false" customHeight="true" outlineLevel="0" collapsed="false">
      <c r="B11" s="14" t="s">
        <v>16</v>
      </c>
      <c r="C11" s="15" t="n">
        <f aca="false">COUNTIF(Auditoria!$E$4:$E$50,"Mitjà")</f>
        <v>19</v>
      </c>
      <c r="D11" s="16" t="n">
        <f aca="false">IFERROR(C11/COUNTA(Auditoria!$A$4:$A$50),0)</f>
        <v>0.404255319148936</v>
      </c>
      <c r="F11" s="14" t="s">
        <v>17</v>
      </c>
      <c r="G11" s="15" t="n">
        <f aca="false">COUNTIF(Auditoria!$C$4:$C$50,"Error de disseny (UI)")</f>
        <v>8</v>
      </c>
      <c r="H11" s="16" t="n">
        <f aca="false">IFERROR(G11/COUNTA(Auditoria!$A$4:$A$50),0)</f>
        <v>0.170212765957447</v>
      </c>
    </row>
    <row r="12" customFormat="false" ht="18" hidden="false" customHeight="true" outlineLevel="0" collapsed="false">
      <c r="B12" s="14" t="s">
        <v>18</v>
      </c>
      <c r="C12" s="15" t="n">
        <f aca="false">COUNTIF(Auditoria!$E$4:$E$50,"Baix")</f>
        <v>13</v>
      </c>
      <c r="D12" s="16" t="n">
        <f aca="false">IFERROR(C12/COUNTA(Auditoria!$A$4:$A$50),0)</f>
        <v>0.276595744680851</v>
      </c>
      <c r="F12" s="14" t="s">
        <v>19</v>
      </c>
      <c r="G12" s="15" t="n">
        <f aca="false">COUNTIF(Auditoria!$C$4:$C$50,"Rendiment/Lentitud")</f>
        <v>5</v>
      </c>
      <c r="H12" s="16" t="n">
        <f aca="false">IFERROR(G12/COUNTA(Auditoria!$A$4:$A$50),0)</f>
        <v>0.106382978723404</v>
      </c>
    </row>
    <row r="13" customFormat="false" ht="15" hidden="false" customHeight="false" outlineLevel="0" collapsed="false">
      <c r="B13" s="17" t="s">
        <v>20</v>
      </c>
      <c r="C13" s="18" t="n">
        <f aca="false">SUM(C9:C12)</f>
        <v>47</v>
      </c>
      <c r="D13" s="19" t="n">
        <f aca="false">SUM(D9:D12)</f>
        <v>1</v>
      </c>
      <c r="F13" s="17" t="s">
        <v>20</v>
      </c>
      <c r="G13" s="18" t="n">
        <f aca="false">SUM(G9:G12)</f>
        <v>47</v>
      </c>
      <c r="H13" s="19" t="n">
        <f aca="false">SUM(H9:H12)</f>
        <v>1</v>
      </c>
    </row>
    <row r="14" customFormat="false" ht="21.75" hidden="false" customHeight="true" outlineLevel="0" collapsed="false">
      <c r="B14" s="11" t="s">
        <v>21</v>
      </c>
      <c r="C14" s="11"/>
      <c r="D14" s="11"/>
      <c r="F14" s="11" t="s">
        <v>22</v>
      </c>
      <c r="G14" s="11"/>
      <c r="H14" s="11"/>
    </row>
    <row r="15" customFormat="false" ht="15" hidden="false" customHeight="false" outlineLevel="0" collapsed="false">
      <c r="B15" s="12" t="s">
        <v>23</v>
      </c>
      <c r="C15" s="13" t="s">
        <v>9</v>
      </c>
      <c r="D15" s="13" t="s">
        <v>10</v>
      </c>
      <c r="F15" s="12" t="s">
        <v>24</v>
      </c>
      <c r="G15" s="13" t="s">
        <v>9</v>
      </c>
      <c r="H15" s="13" t="s">
        <v>10</v>
      </c>
    </row>
    <row r="16" customFormat="false" ht="18" hidden="false" customHeight="true" outlineLevel="0" collapsed="false">
      <c r="B16" s="14" t="s">
        <v>25</v>
      </c>
      <c r="C16" s="15" t="n">
        <f aca="false">COUNTIF(Auditoria!$G$4:$G$50,"P1 - Immediata")</f>
        <v>10</v>
      </c>
      <c r="D16" s="16" t="n">
        <f aca="false">IFERROR(C16/COUNTA(Auditoria!$A$4:$A$50),0)</f>
        <v>0.212765957446809</v>
      </c>
      <c r="F16" s="14" t="s">
        <v>26</v>
      </c>
      <c r="G16" s="15" t="n">
        <f aca="false">COUNTIF(Auditoria!$H$4:$H$50,"Pendent")</f>
        <v>3</v>
      </c>
      <c r="H16" s="16" t="n">
        <f aca="false">IFERROR(G16/COUNTA(Auditoria!$A$4:$A$50),0)</f>
        <v>0.0638297872340426</v>
      </c>
    </row>
    <row r="17" customFormat="false" ht="18" hidden="false" customHeight="true" outlineLevel="0" collapsed="false">
      <c r="B17" s="14" t="s">
        <v>27</v>
      </c>
      <c r="C17" s="15" t="n">
        <f aca="false">COUNTIF(Auditoria!$G$4:$G$50,"P2 - Curt termini")</f>
        <v>20</v>
      </c>
      <c r="D17" s="16" t="n">
        <f aca="false">IFERROR(C17/COUNTA(Auditoria!$A$4:$A$50),0)</f>
        <v>0.425531914893617</v>
      </c>
      <c r="F17" s="14" t="s">
        <v>28</v>
      </c>
      <c r="G17" s="15" t="n">
        <f aca="false">COUNTIF(Auditoria!$H$4:$H$50,"En procés")</f>
        <v>8</v>
      </c>
      <c r="H17" s="16" t="n">
        <f aca="false">IFERROR(G17/COUNTA(Auditoria!$A$4:$A$50),0)</f>
        <v>0.170212765957447</v>
      </c>
    </row>
    <row r="18" customFormat="false" ht="18" hidden="false" customHeight="true" outlineLevel="0" collapsed="false">
      <c r="B18" s="14" t="s">
        <v>29</v>
      </c>
      <c r="C18" s="15" t="n">
        <f aca="false">COUNTIF(Auditoria!$G$4:$G$50,"P3 - Millora futura")</f>
        <v>17</v>
      </c>
      <c r="D18" s="16" t="n">
        <f aca="false">IFERROR(C18/COUNTA(Auditoria!$A$4:$A$50),0)</f>
        <v>0.361702127659575</v>
      </c>
      <c r="F18" s="14" t="s">
        <v>30</v>
      </c>
      <c r="G18" s="15" t="n">
        <f aca="false">COUNTIF(Auditoria!$H$4:$H$50,"Resolt")</f>
        <v>36</v>
      </c>
      <c r="H18" s="16" t="n">
        <f aca="false">IFERROR(G18/COUNTA(Auditoria!$A$4:$A$50),0)</f>
        <v>0.765957446808511</v>
      </c>
    </row>
    <row r="19" customFormat="false" ht="15" hidden="false" customHeight="false" outlineLevel="0" collapsed="false">
      <c r="B19" s="17" t="s">
        <v>20</v>
      </c>
      <c r="C19" s="18" t="n">
        <f aca="false">SUM(C16:C18)</f>
        <v>47</v>
      </c>
      <c r="D19" s="19" t="n">
        <f aca="false">SUM(D16:D18)</f>
        <v>1</v>
      </c>
      <c r="F19" s="17" t="s">
        <v>20</v>
      </c>
      <c r="G19" s="18" t="n">
        <f aca="false">SUM(G16:G18)</f>
        <v>47</v>
      </c>
      <c r="H19" s="19" t="n">
        <f aca="false">SUM(H16:H18)</f>
        <v>1</v>
      </c>
    </row>
    <row r="37" customFormat="false" ht="15" hidden="false" customHeight="false" outlineLevel="0" collapsed="false">
      <c r="F37" s="11" t="s">
        <v>31</v>
      </c>
      <c r="G37" s="11"/>
      <c r="H37" s="11"/>
    </row>
    <row r="38" customFormat="false" ht="25.5" hidden="false" customHeight="true" outlineLevel="0" collapsed="false">
      <c r="F38" s="20" t="s">
        <v>32</v>
      </c>
      <c r="G38" s="20"/>
      <c r="H38" s="20"/>
    </row>
    <row r="39" customFormat="false" ht="25.5" hidden="false" customHeight="true" outlineLevel="0" collapsed="false">
      <c r="F39" s="20" t="s">
        <v>33</v>
      </c>
      <c r="G39" s="20"/>
      <c r="H39" s="20"/>
    </row>
    <row r="40" customFormat="false" ht="25.5" hidden="false" customHeight="true" outlineLevel="0" collapsed="false">
      <c r="F40" s="20" t="s">
        <v>34</v>
      </c>
      <c r="G40" s="20"/>
      <c r="H40" s="20"/>
    </row>
    <row r="41" customFormat="false" ht="25.5" hidden="false" customHeight="true" outlineLevel="0" collapsed="false">
      <c r="F41" s="20" t="s">
        <v>35</v>
      </c>
      <c r="G41" s="20"/>
      <c r="H41" s="20"/>
    </row>
    <row r="42" customFormat="false" ht="25.5" hidden="false" customHeight="true" outlineLevel="0" collapsed="false">
      <c r="F42" s="20" t="s">
        <v>36</v>
      </c>
      <c r="G42" s="20"/>
      <c r="H42" s="20"/>
    </row>
  </sheetData>
  <mergeCells count="20">
    <mergeCell ref="B1:H1"/>
    <mergeCell ref="B2:H2"/>
    <mergeCell ref="B4:C4"/>
    <mergeCell ref="D4:E4"/>
    <mergeCell ref="F4:G4"/>
    <mergeCell ref="H4:I4"/>
    <mergeCell ref="B5:C5"/>
    <mergeCell ref="D5:E5"/>
    <mergeCell ref="F5:G5"/>
    <mergeCell ref="H5:I5"/>
    <mergeCell ref="B7:D7"/>
    <mergeCell ref="F7:H7"/>
    <mergeCell ref="B14:D14"/>
    <mergeCell ref="F14:H14"/>
    <mergeCell ref="F37:H37"/>
    <mergeCell ref="F38:H38"/>
    <mergeCell ref="F39:H39"/>
    <mergeCell ref="F40:H40"/>
    <mergeCell ref="F41:H41"/>
    <mergeCell ref="F42:H4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24"/>
    <col collapsed="false" customWidth="true" hidden="false" outlineLevel="0" max="4" min="4" style="0" width="78"/>
    <col collapsed="false" customWidth="true" hidden="false" outlineLevel="0" max="5" min="5" style="0" width="15"/>
    <col collapsed="false" customWidth="true" hidden="false" outlineLevel="0" max="6" min="6" style="0" width="78"/>
    <col collapsed="false" customWidth="true" hidden="false" outlineLevel="0" max="7" min="7" style="0" width="18"/>
    <col collapsed="false" customWidth="true" hidden="false" outlineLevel="0" max="8" min="8" style="0" width="14"/>
  </cols>
  <sheetData>
    <row r="1" customFormat="false" ht="30" hidden="false" customHeight="true" outlineLevel="0" collapsed="false">
      <c r="A1" s="21" t="s">
        <v>37</v>
      </c>
      <c r="B1" s="21"/>
      <c r="C1" s="21"/>
      <c r="D1" s="21"/>
      <c r="E1" s="21"/>
      <c r="F1" s="21"/>
      <c r="G1" s="21"/>
      <c r="H1" s="21"/>
    </row>
    <row r="2" customFormat="false" ht="24" hidden="false" customHeight="true" outlineLevel="0" collapsed="false">
      <c r="A2" s="22" t="s">
        <v>38</v>
      </c>
      <c r="B2" s="22"/>
      <c r="C2" s="22"/>
      <c r="D2" s="22"/>
      <c r="E2" s="22"/>
      <c r="F2" s="22"/>
      <c r="G2" s="22"/>
      <c r="H2" s="22"/>
    </row>
    <row r="3" customFormat="false" ht="33.75" hidden="false" customHeight="true" outlineLevel="0" collapsed="false">
      <c r="A3" s="23" t="s">
        <v>39</v>
      </c>
      <c r="B3" s="23" t="s">
        <v>40</v>
      </c>
      <c r="C3" s="23" t="s">
        <v>41</v>
      </c>
      <c r="D3" s="23" t="s">
        <v>42</v>
      </c>
      <c r="E3" s="23" t="s">
        <v>43</v>
      </c>
      <c r="F3" s="23" t="s">
        <v>44</v>
      </c>
      <c r="G3" s="23" t="s">
        <v>45</v>
      </c>
      <c r="H3" s="23" t="s">
        <v>24</v>
      </c>
    </row>
    <row r="4" customFormat="false" ht="69.75" hidden="false" customHeight="true" outlineLevel="0" collapsed="false">
      <c r="A4" s="24" t="s">
        <v>46</v>
      </c>
      <c r="B4" s="25" t="s">
        <v>47</v>
      </c>
      <c r="C4" s="26" t="s">
        <v>13</v>
      </c>
      <c r="D4" s="25" t="s">
        <v>48</v>
      </c>
      <c r="E4" s="26" t="s">
        <v>12</v>
      </c>
      <c r="F4" s="25" t="s">
        <v>49</v>
      </c>
      <c r="G4" s="26" t="s">
        <v>25</v>
      </c>
      <c r="H4" s="27" t="s">
        <v>30</v>
      </c>
    </row>
    <row r="5" customFormat="false" ht="74.25" hidden="false" customHeight="true" outlineLevel="0" collapsed="false">
      <c r="A5" s="24" t="s">
        <v>50</v>
      </c>
      <c r="B5" s="25" t="s">
        <v>51</v>
      </c>
      <c r="C5" s="26" t="s">
        <v>13</v>
      </c>
      <c r="D5" s="25" t="s">
        <v>52</v>
      </c>
      <c r="E5" s="26" t="s">
        <v>12</v>
      </c>
      <c r="F5" s="25" t="s">
        <v>53</v>
      </c>
      <c r="G5" s="26" t="s">
        <v>25</v>
      </c>
      <c r="H5" s="27" t="s">
        <v>30</v>
      </c>
    </row>
    <row r="6" customFormat="false" ht="75.75" hidden="false" customHeight="true" outlineLevel="0" collapsed="false">
      <c r="A6" s="24" t="s">
        <v>54</v>
      </c>
      <c r="B6" s="25" t="s">
        <v>55</v>
      </c>
      <c r="C6" s="26" t="s">
        <v>13</v>
      </c>
      <c r="D6" s="25" t="s">
        <v>56</v>
      </c>
      <c r="E6" s="26" t="s">
        <v>12</v>
      </c>
      <c r="F6" s="25" t="s">
        <v>57</v>
      </c>
      <c r="G6" s="26" t="s">
        <v>25</v>
      </c>
      <c r="H6" s="27" t="s">
        <v>28</v>
      </c>
    </row>
    <row r="7" customFormat="false" ht="54.75" hidden="false" customHeight="true" outlineLevel="0" collapsed="false">
      <c r="A7" s="24" t="s">
        <v>58</v>
      </c>
      <c r="B7" s="25" t="s">
        <v>59</v>
      </c>
      <c r="C7" s="26" t="s">
        <v>13</v>
      </c>
      <c r="D7" s="25" t="s">
        <v>60</v>
      </c>
      <c r="E7" s="26" t="s">
        <v>14</v>
      </c>
      <c r="F7" s="25" t="s">
        <v>61</v>
      </c>
      <c r="G7" s="26" t="s">
        <v>25</v>
      </c>
      <c r="H7" s="27" t="s">
        <v>30</v>
      </c>
    </row>
    <row r="8" customFormat="false" ht="52.5" hidden="false" customHeight="true" outlineLevel="0" collapsed="false">
      <c r="A8" s="24" t="s">
        <v>62</v>
      </c>
      <c r="B8" s="25" t="s">
        <v>63</v>
      </c>
      <c r="C8" s="26" t="s">
        <v>13</v>
      </c>
      <c r="D8" s="25" t="s">
        <v>64</v>
      </c>
      <c r="E8" s="26" t="s">
        <v>14</v>
      </c>
      <c r="F8" s="25" t="s">
        <v>65</v>
      </c>
      <c r="G8" s="26" t="s">
        <v>27</v>
      </c>
      <c r="H8" s="27" t="s">
        <v>30</v>
      </c>
    </row>
    <row r="9" customFormat="false" ht="74.25" hidden="false" customHeight="true" outlineLevel="0" collapsed="false">
      <c r="A9" s="24" t="s">
        <v>66</v>
      </c>
      <c r="B9" s="25" t="s">
        <v>67</v>
      </c>
      <c r="C9" s="26" t="s">
        <v>13</v>
      </c>
      <c r="D9" s="25" t="s">
        <v>68</v>
      </c>
      <c r="E9" s="26" t="s">
        <v>16</v>
      </c>
      <c r="F9" s="25" t="s">
        <v>69</v>
      </c>
      <c r="G9" s="26" t="s">
        <v>27</v>
      </c>
      <c r="H9" s="27" t="s">
        <v>30</v>
      </c>
    </row>
    <row r="10" customFormat="false" ht="73.5" hidden="false" customHeight="true" outlineLevel="0" collapsed="false">
      <c r="A10" s="24" t="s">
        <v>70</v>
      </c>
      <c r="B10" s="25" t="s">
        <v>71</v>
      </c>
      <c r="C10" s="26" t="s">
        <v>13</v>
      </c>
      <c r="D10" s="25" t="s">
        <v>72</v>
      </c>
      <c r="E10" s="26" t="s">
        <v>16</v>
      </c>
      <c r="F10" s="25" t="s">
        <v>73</v>
      </c>
      <c r="G10" s="26" t="s">
        <v>27</v>
      </c>
      <c r="H10" s="27" t="s">
        <v>30</v>
      </c>
    </row>
    <row r="11" customFormat="false" ht="66.75" hidden="false" customHeight="true" outlineLevel="0" collapsed="false">
      <c r="A11" s="24" t="s">
        <v>74</v>
      </c>
      <c r="B11" s="25" t="s">
        <v>75</v>
      </c>
      <c r="C11" s="26" t="s">
        <v>13</v>
      </c>
      <c r="D11" s="25" t="s">
        <v>76</v>
      </c>
      <c r="E11" s="26" t="s">
        <v>16</v>
      </c>
      <c r="F11" s="25" t="s">
        <v>77</v>
      </c>
      <c r="G11" s="26" t="s">
        <v>29</v>
      </c>
      <c r="H11" s="27" t="s">
        <v>30</v>
      </c>
    </row>
    <row r="12" customFormat="false" ht="72" hidden="false" customHeight="true" outlineLevel="0" collapsed="false">
      <c r="A12" s="24" t="s">
        <v>78</v>
      </c>
      <c r="B12" s="25" t="s">
        <v>79</v>
      </c>
      <c r="C12" s="26" t="s">
        <v>13</v>
      </c>
      <c r="D12" s="25" t="s">
        <v>80</v>
      </c>
      <c r="E12" s="26" t="s">
        <v>16</v>
      </c>
      <c r="F12" s="25" t="s">
        <v>81</v>
      </c>
      <c r="G12" s="26" t="s">
        <v>27</v>
      </c>
      <c r="H12" s="27" t="s">
        <v>30</v>
      </c>
    </row>
    <row r="13" customFormat="false" ht="52.5" hidden="false" customHeight="true" outlineLevel="0" collapsed="false">
      <c r="A13" s="24" t="s">
        <v>82</v>
      </c>
      <c r="B13" s="25" t="s">
        <v>83</v>
      </c>
      <c r="C13" s="26" t="s">
        <v>13</v>
      </c>
      <c r="D13" s="25" t="s">
        <v>84</v>
      </c>
      <c r="E13" s="26" t="s">
        <v>16</v>
      </c>
      <c r="F13" s="25" t="s">
        <v>85</v>
      </c>
      <c r="G13" s="26" t="s">
        <v>27</v>
      </c>
      <c r="H13" s="27" t="s">
        <v>30</v>
      </c>
    </row>
    <row r="14" customFormat="false" ht="59.25" hidden="false" customHeight="true" outlineLevel="0" collapsed="false">
      <c r="A14" s="24" t="s">
        <v>86</v>
      </c>
      <c r="B14" s="25" t="s">
        <v>87</v>
      </c>
      <c r="C14" s="26" t="s">
        <v>13</v>
      </c>
      <c r="D14" s="25" t="s">
        <v>88</v>
      </c>
      <c r="E14" s="26" t="s">
        <v>14</v>
      </c>
      <c r="F14" s="25" t="s">
        <v>89</v>
      </c>
      <c r="G14" s="26" t="s">
        <v>25</v>
      </c>
      <c r="H14" s="27" t="s">
        <v>28</v>
      </c>
    </row>
    <row r="15" customFormat="false" ht="77.25" hidden="false" customHeight="true" outlineLevel="0" collapsed="false">
      <c r="A15" s="24" t="s">
        <v>90</v>
      </c>
      <c r="B15" s="25" t="s">
        <v>91</v>
      </c>
      <c r="C15" s="26" t="s">
        <v>13</v>
      </c>
      <c r="D15" s="25" t="s">
        <v>92</v>
      </c>
      <c r="E15" s="26" t="s">
        <v>14</v>
      </c>
      <c r="F15" s="25" t="s">
        <v>93</v>
      </c>
      <c r="G15" s="26" t="s">
        <v>27</v>
      </c>
      <c r="H15" s="27" t="s">
        <v>30</v>
      </c>
    </row>
    <row r="16" customFormat="false" ht="85.5" hidden="false" customHeight="true" outlineLevel="0" collapsed="false">
      <c r="A16" s="24" t="s">
        <v>94</v>
      </c>
      <c r="B16" s="25" t="s">
        <v>95</v>
      </c>
      <c r="C16" s="26" t="s">
        <v>19</v>
      </c>
      <c r="D16" s="25" t="s">
        <v>96</v>
      </c>
      <c r="E16" s="26" t="s">
        <v>12</v>
      </c>
      <c r="F16" s="25" t="s">
        <v>97</v>
      </c>
      <c r="G16" s="26" t="s">
        <v>25</v>
      </c>
      <c r="H16" s="27" t="s">
        <v>28</v>
      </c>
    </row>
    <row r="17" customFormat="false" ht="63" hidden="false" customHeight="true" outlineLevel="0" collapsed="false">
      <c r="A17" s="24" t="s">
        <v>98</v>
      </c>
      <c r="B17" s="25" t="s">
        <v>99</v>
      </c>
      <c r="C17" s="26" t="s">
        <v>19</v>
      </c>
      <c r="D17" s="25" t="s">
        <v>100</v>
      </c>
      <c r="E17" s="26" t="s">
        <v>16</v>
      </c>
      <c r="F17" s="25" t="s">
        <v>101</v>
      </c>
      <c r="G17" s="26" t="s">
        <v>27</v>
      </c>
      <c r="H17" s="27" t="s">
        <v>30</v>
      </c>
    </row>
    <row r="18" customFormat="false" ht="53.25" hidden="false" customHeight="true" outlineLevel="0" collapsed="false">
      <c r="A18" s="24" t="s">
        <v>102</v>
      </c>
      <c r="B18" s="25" t="s">
        <v>103</v>
      </c>
      <c r="C18" s="26" t="s">
        <v>19</v>
      </c>
      <c r="D18" s="25" t="s">
        <v>104</v>
      </c>
      <c r="E18" s="26" t="s">
        <v>18</v>
      </c>
      <c r="F18" s="25" t="s">
        <v>105</v>
      </c>
      <c r="G18" s="26" t="s">
        <v>29</v>
      </c>
      <c r="H18" s="27" t="s">
        <v>28</v>
      </c>
    </row>
    <row r="19" customFormat="false" ht="36.75" hidden="false" customHeight="true" outlineLevel="0" collapsed="false">
      <c r="A19" s="24" t="s">
        <v>106</v>
      </c>
      <c r="B19" s="25" t="s">
        <v>107</v>
      </c>
      <c r="C19" s="26" t="s">
        <v>19</v>
      </c>
      <c r="D19" s="25" t="s">
        <v>108</v>
      </c>
      <c r="E19" s="26" t="s">
        <v>18</v>
      </c>
      <c r="F19" s="25" t="s">
        <v>109</v>
      </c>
      <c r="G19" s="26" t="s">
        <v>29</v>
      </c>
      <c r="H19" s="27" t="s">
        <v>30</v>
      </c>
    </row>
    <row r="20" customFormat="false" ht="58.5" hidden="false" customHeight="true" outlineLevel="0" collapsed="false">
      <c r="A20" s="24" t="s">
        <v>110</v>
      </c>
      <c r="B20" s="25" t="s">
        <v>111</v>
      </c>
      <c r="C20" s="26" t="s">
        <v>19</v>
      </c>
      <c r="D20" s="25" t="s">
        <v>112</v>
      </c>
      <c r="E20" s="26" t="s">
        <v>16</v>
      </c>
      <c r="F20" s="25" t="s">
        <v>113</v>
      </c>
      <c r="G20" s="26" t="s">
        <v>27</v>
      </c>
      <c r="H20" s="27" t="s">
        <v>28</v>
      </c>
    </row>
    <row r="21" customFormat="false" ht="52.5" hidden="false" customHeight="true" outlineLevel="0" collapsed="false">
      <c r="A21" s="24" t="s">
        <v>114</v>
      </c>
      <c r="B21" s="25" t="s">
        <v>115</v>
      </c>
      <c r="C21" s="26" t="s">
        <v>15</v>
      </c>
      <c r="D21" s="25" t="s">
        <v>116</v>
      </c>
      <c r="E21" s="26" t="s">
        <v>14</v>
      </c>
      <c r="F21" s="25" t="s">
        <v>117</v>
      </c>
      <c r="G21" s="26" t="s">
        <v>25</v>
      </c>
      <c r="H21" s="27" t="s">
        <v>30</v>
      </c>
    </row>
    <row r="22" customFormat="false" ht="66" hidden="false" customHeight="true" outlineLevel="0" collapsed="false">
      <c r="A22" s="24" t="s">
        <v>118</v>
      </c>
      <c r="B22" s="25" t="s">
        <v>119</v>
      </c>
      <c r="C22" s="26" t="s">
        <v>15</v>
      </c>
      <c r="D22" s="25" t="s">
        <v>120</v>
      </c>
      <c r="E22" s="26" t="s">
        <v>14</v>
      </c>
      <c r="F22" s="25" t="s">
        <v>121</v>
      </c>
      <c r="G22" s="26" t="s">
        <v>25</v>
      </c>
      <c r="H22" s="27" t="s">
        <v>30</v>
      </c>
    </row>
    <row r="23" customFormat="false" ht="63" hidden="false" customHeight="true" outlineLevel="0" collapsed="false">
      <c r="A23" s="24" t="s">
        <v>122</v>
      </c>
      <c r="B23" s="25" t="s">
        <v>123</v>
      </c>
      <c r="C23" s="26" t="s">
        <v>15</v>
      </c>
      <c r="D23" s="25" t="s">
        <v>124</v>
      </c>
      <c r="E23" s="26" t="s">
        <v>14</v>
      </c>
      <c r="F23" s="25" t="s">
        <v>125</v>
      </c>
      <c r="G23" s="26" t="s">
        <v>25</v>
      </c>
      <c r="H23" s="27" t="s">
        <v>30</v>
      </c>
    </row>
    <row r="24" customFormat="false" ht="64.5" hidden="false" customHeight="true" outlineLevel="0" collapsed="false">
      <c r="A24" s="24" t="s">
        <v>126</v>
      </c>
      <c r="B24" s="25" t="s">
        <v>127</v>
      </c>
      <c r="C24" s="26" t="s">
        <v>15</v>
      </c>
      <c r="D24" s="25" t="s">
        <v>128</v>
      </c>
      <c r="E24" s="26" t="s">
        <v>14</v>
      </c>
      <c r="F24" s="25" t="s">
        <v>129</v>
      </c>
      <c r="G24" s="26" t="s">
        <v>25</v>
      </c>
      <c r="H24" s="27" t="s">
        <v>30</v>
      </c>
    </row>
    <row r="25" customFormat="false" ht="70.5" hidden="false" customHeight="true" outlineLevel="0" collapsed="false">
      <c r="A25" s="24" t="s">
        <v>130</v>
      </c>
      <c r="B25" s="25" t="s">
        <v>131</v>
      </c>
      <c r="C25" s="26" t="s">
        <v>15</v>
      </c>
      <c r="D25" s="25" t="s">
        <v>132</v>
      </c>
      <c r="E25" s="26" t="s">
        <v>14</v>
      </c>
      <c r="F25" s="25" t="s">
        <v>133</v>
      </c>
      <c r="G25" s="26" t="s">
        <v>27</v>
      </c>
      <c r="H25" s="27" t="s">
        <v>30</v>
      </c>
    </row>
    <row r="26" customFormat="false" ht="39.75" hidden="false" customHeight="true" outlineLevel="0" collapsed="false">
      <c r="A26" s="24" t="s">
        <v>134</v>
      </c>
      <c r="B26" s="25" t="s">
        <v>135</v>
      </c>
      <c r="C26" s="26" t="s">
        <v>15</v>
      </c>
      <c r="D26" s="25" t="s">
        <v>136</v>
      </c>
      <c r="E26" s="26" t="s">
        <v>16</v>
      </c>
      <c r="F26" s="25" t="s">
        <v>137</v>
      </c>
      <c r="G26" s="26" t="s">
        <v>27</v>
      </c>
      <c r="H26" s="27" t="s">
        <v>30</v>
      </c>
    </row>
    <row r="27" customFormat="false" ht="51.75" hidden="false" customHeight="true" outlineLevel="0" collapsed="false">
      <c r="A27" s="24" t="s">
        <v>138</v>
      </c>
      <c r="B27" s="25" t="s">
        <v>139</v>
      </c>
      <c r="C27" s="26" t="s">
        <v>15</v>
      </c>
      <c r="D27" s="25" t="s">
        <v>140</v>
      </c>
      <c r="E27" s="26" t="s">
        <v>16</v>
      </c>
      <c r="F27" s="25" t="s">
        <v>141</v>
      </c>
      <c r="G27" s="26" t="s">
        <v>27</v>
      </c>
      <c r="H27" s="27" t="s">
        <v>30</v>
      </c>
    </row>
    <row r="28" customFormat="false" ht="54.75" hidden="false" customHeight="true" outlineLevel="0" collapsed="false">
      <c r="A28" s="24" t="s">
        <v>142</v>
      </c>
      <c r="B28" s="25" t="s">
        <v>143</v>
      </c>
      <c r="C28" s="26" t="s">
        <v>15</v>
      </c>
      <c r="D28" s="25" t="s">
        <v>144</v>
      </c>
      <c r="E28" s="26" t="s">
        <v>16</v>
      </c>
      <c r="F28" s="25" t="s">
        <v>145</v>
      </c>
      <c r="G28" s="26" t="s">
        <v>27</v>
      </c>
      <c r="H28" s="27" t="s">
        <v>30</v>
      </c>
    </row>
    <row r="29" customFormat="false" ht="38.25" hidden="false" customHeight="true" outlineLevel="0" collapsed="false">
      <c r="A29" s="24" t="s">
        <v>146</v>
      </c>
      <c r="B29" s="25" t="s">
        <v>147</v>
      </c>
      <c r="C29" s="26" t="s">
        <v>15</v>
      </c>
      <c r="D29" s="25" t="s">
        <v>148</v>
      </c>
      <c r="E29" s="26" t="s">
        <v>16</v>
      </c>
      <c r="F29" s="25" t="s">
        <v>149</v>
      </c>
      <c r="G29" s="26" t="s">
        <v>29</v>
      </c>
      <c r="H29" s="27" t="s">
        <v>30</v>
      </c>
    </row>
    <row r="30" customFormat="false" ht="51" hidden="false" customHeight="true" outlineLevel="0" collapsed="false">
      <c r="A30" s="24" t="s">
        <v>150</v>
      </c>
      <c r="B30" s="25" t="s">
        <v>151</v>
      </c>
      <c r="C30" s="26" t="s">
        <v>15</v>
      </c>
      <c r="D30" s="25" t="s">
        <v>152</v>
      </c>
      <c r="E30" s="26" t="s">
        <v>18</v>
      </c>
      <c r="F30" s="25" t="s">
        <v>153</v>
      </c>
      <c r="G30" s="26" t="s">
        <v>29</v>
      </c>
      <c r="H30" s="27" t="s">
        <v>30</v>
      </c>
    </row>
    <row r="31" customFormat="false" ht="59.25" hidden="false" customHeight="true" outlineLevel="0" collapsed="false">
      <c r="A31" s="24" t="s">
        <v>154</v>
      </c>
      <c r="B31" s="25" t="s">
        <v>155</v>
      </c>
      <c r="C31" s="26" t="s">
        <v>15</v>
      </c>
      <c r="D31" s="25" t="s">
        <v>156</v>
      </c>
      <c r="E31" s="26" t="s">
        <v>16</v>
      </c>
      <c r="F31" s="25" t="s">
        <v>157</v>
      </c>
      <c r="G31" s="26" t="s">
        <v>27</v>
      </c>
      <c r="H31" s="27" t="s">
        <v>30</v>
      </c>
    </row>
    <row r="32" customFormat="false" ht="51.75" hidden="false" customHeight="true" outlineLevel="0" collapsed="false">
      <c r="A32" s="24" t="s">
        <v>158</v>
      </c>
      <c r="B32" s="25" t="s">
        <v>159</v>
      </c>
      <c r="C32" s="26" t="s">
        <v>15</v>
      </c>
      <c r="D32" s="25" t="s">
        <v>160</v>
      </c>
      <c r="E32" s="26" t="s">
        <v>14</v>
      </c>
      <c r="F32" s="25" t="s">
        <v>161</v>
      </c>
      <c r="G32" s="26" t="s">
        <v>27</v>
      </c>
      <c r="H32" s="27" t="s">
        <v>26</v>
      </c>
    </row>
    <row r="33" customFormat="false" ht="57" hidden="false" customHeight="true" outlineLevel="0" collapsed="false">
      <c r="A33" s="24" t="s">
        <v>162</v>
      </c>
      <c r="B33" s="25" t="s">
        <v>163</v>
      </c>
      <c r="C33" s="26" t="s">
        <v>15</v>
      </c>
      <c r="D33" s="25" t="s">
        <v>164</v>
      </c>
      <c r="E33" s="26" t="s">
        <v>18</v>
      </c>
      <c r="F33" s="25" t="s">
        <v>165</v>
      </c>
      <c r="G33" s="26" t="s">
        <v>29</v>
      </c>
      <c r="H33" s="27" t="s">
        <v>26</v>
      </c>
    </row>
    <row r="34" customFormat="false" ht="72" hidden="false" customHeight="true" outlineLevel="0" collapsed="false">
      <c r="A34" s="24" t="s">
        <v>166</v>
      </c>
      <c r="B34" s="25" t="s">
        <v>167</v>
      </c>
      <c r="C34" s="26" t="s">
        <v>15</v>
      </c>
      <c r="D34" s="25" t="s">
        <v>168</v>
      </c>
      <c r="E34" s="26" t="s">
        <v>18</v>
      </c>
      <c r="F34" s="25" t="s">
        <v>169</v>
      </c>
      <c r="G34" s="26" t="s">
        <v>29</v>
      </c>
      <c r="H34" s="27" t="s">
        <v>28</v>
      </c>
    </row>
    <row r="35" customFormat="false" ht="42.75" hidden="false" customHeight="true" outlineLevel="0" collapsed="false">
      <c r="A35" s="24" t="s">
        <v>170</v>
      </c>
      <c r="B35" s="25" t="s">
        <v>171</v>
      </c>
      <c r="C35" s="26" t="s">
        <v>15</v>
      </c>
      <c r="D35" s="25" t="s">
        <v>172</v>
      </c>
      <c r="E35" s="26" t="s">
        <v>18</v>
      </c>
      <c r="F35" s="25" t="s">
        <v>173</v>
      </c>
      <c r="G35" s="26" t="s">
        <v>29</v>
      </c>
      <c r="H35" s="27" t="s">
        <v>30</v>
      </c>
    </row>
    <row r="36" customFormat="false" ht="46.5" hidden="false" customHeight="true" outlineLevel="0" collapsed="false">
      <c r="A36" s="24" t="s">
        <v>174</v>
      </c>
      <c r="B36" s="25" t="s">
        <v>175</v>
      </c>
      <c r="C36" s="26" t="s">
        <v>15</v>
      </c>
      <c r="D36" s="25" t="s">
        <v>176</v>
      </c>
      <c r="E36" s="26" t="s">
        <v>16</v>
      </c>
      <c r="F36" s="25" t="s">
        <v>177</v>
      </c>
      <c r="G36" s="26" t="s">
        <v>29</v>
      </c>
      <c r="H36" s="27" t="s">
        <v>30</v>
      </c>
    </row>
    <row r="37" customFormat="false" ht="39.75" hidden="false" customHeight="true" outlineLevel="0" collapsed="false">
      <c r="A37" s="24" t="s">
        <v>178</v>
      </c>
      <c r="B37" s="25" t="s">
        <v>179</v>
      </c>
      <c r="C37" s="26" t="s">
        <v>15</v>
      </c>
      <c r="D37" s="25" t="s">
        <v>180</v>
      </c>
      <c r="E37" s="26" t="s">
        <v>18</v>
      </c>
      <c r="F37" s="25" t="s">
        <v>181</v>
      </c>
      <c r="G37" s="26" t="s">
        <v>29</v>
      </c>
      <c r="H37" s="27" t="s">
        <v>26</v>
      </c>
    </row>
    <row r="38" customFormat="false" ht="43.5" hidden="false" customHeight="true" outlineLevel="0" collapsed="false">
      <c r="A38" s="24" t="s">
        <v>182</v>
      </c>
      <c r="B38" s="25" t="s">
        <v>183</v>
      </c>
      <c r="C38" s="26" t="s">
        <v>15</v>
      </c>
      <c r="D38" s="25" t="s">
        <v>184</v>
      </c>
      <c r="E38" s="26" t="s">
        <v>18</v>
      </c>
      <c r="F38" s="25" t="s">
        <v>185</v>
      </c>
      <c r="G38" s="26" t="s">
        <v>29</v>
      </c>
      <c r="H38" s="27" t="s">
        <v>28</v>
      </c>
    </row>
    <row r="39" customFormat="false" ht="67.5" hidden="false" customHeight="true" outlineLevel="0" collapsed="false">
      <c r="A39" s="24" t="s">
        <v>186</v>
      </c>
      <c r="B39" s="25" t="s">
        <v>187</v>
      </c>
      <c r="C39" s="26" t="s">
        <v>15</v>
      </c>
      <c r="D39" s="25" t="s">
        <v>188</v>
      </c>
      <c r="E39" s="26" t="s">
        <v>14</v>
      </c>
      <c r="F39" s="25" t="s">
        <v>189</v>
      </c>
      <c r="G39" s="26" t="s">
        <v>27</v>
      </c>
      <c r="H39" s="27" t="s">
        <v>30</v>
      </c>
    </row>
    <row r="40" customFormat="false" ht="63" hidden="false" customHeight="true" outlineLevel="0" collapsed="false">
      <c r="A40" s="24" t="s">
        <v>190</v>
      </c>
      <c r="B40" s="25" t="s">
        <v>191</v>
      </c>
      <c r="C40" s="26" t="s">
        <v>15</v>
      </c>
      <c r="D40" s="25" t="s">
        <v>192</v>
      </c>
      <c r="E40" s="26" t="s">
        <v>16</v>
      </c>
      <c r="F40" s="25" t="s">
        <v>193</v>
      </c>
      <c r="G40" s="26" t="s">
        <v>27</v>
      </c>
      <c r="H40" s="27" t="s">
        <v>30</v>
      </c>
    </row>
    <row r="41" customFormat="false" ht="57.75" hidden="false" customHeight="true" outlineLevel="0" collapsed="false">
      <c r="A41" s="24" t="s">
        <v>194</v>
      </c>
      <c r="B41" s="25" t="s">
        <v>195</v>
      </c>
      <c r="C41" s="26" t="s">
        <v>15</v>
      </c>
      <c r="D41" s="25" t="s">
        <v>196</v>
      </c>
      <c r="E41" s="26" t="s">
        <v>16</v>
      </c>
      <c r="F41" s="25" t="s">
        <v>197</v>
      </c>
      <c r="G41" s="26" t="s">
        <v>29</v>
      </c>
      <c r="H41" s="27" t="s">
        <v>30</v>
      </c>
    </row>
    <row r="42" customFormat="false" ht="56.25" hidden="false" customHeight="true" outlineLevel="0" collapsed="false">
      <c r="A42" s="24" t="s">
        <v>198</v>
      </c>
      <c r="B42" s="25" t="s">
        <v>199</v>
      </c>
      <c r="C42" s="26" t="s">
        <v>15</v>
      </c>
      <c r="D42" s="25" t="s">
        <v>200</v>
      </c>
      <c r="E42" s="26" t="s">
        <v>16</v>
      </c>
      <c r="F42" s="25" t="s">
        <v>201</v>
      </c>
      <c r="G42" s="26" t="s">
        <v>27</v>
      </c>
      <c r="H42" s="27" t="s">
        <v>30</v>
      </c>
    </row>
    <row r="43" customFormat="false" ht="61.5" hidden="false" customHeight="true" outlineLevel="0" collapsed="false">
      <c r="A43" s="24" t="s">
        <v>202</v>
      </c>
      <c r="B43" s="25" t="s">
        <v>203</v>
      </c>
      <c r="C43" s="26" t="s">
        <v>17</v>
      </c>
      <c r="D43" s="25" t="s">
        <v>204</v>
      </c>
      <c r="E43" s="26" t="s">
        <v>16</v>
      </c>
      <c r="F43" s="25" t="s">
        <v>205</v>
      </c>
      <c r="G43" s="26" t="s">
        <v>27</v>
      </c>
      <c r="H43" s="27" t="s">
        <v>30</v>
      </c>
    </row>
    <row r="44" customFormat="false" ht="49.5" hidden="false" customHeight="true" outlineLevel="0" collapsed="false">
      <c r="A44" s="24" t="s">
        <v>206</v>
      </c>
      <c r="B44" s="25" t="s">
        <v>207</v>
      </c>
      <c r="C44" s="26" t="s">
        <v>17</v>
      </c>
      <c r="D44" s="25" t="s">
        <v>208</v>
      </c>
      <c r="E44" s="26" t="s">
        <v>18</v>
      </c>
      <c r="F44" s="25" t="s">
        <v>209</v>
      </c>
      <c r="G44" s="26" t="s">
        <v>29</v>
      </c>
      <c r="H44" s="27" t="s">
        <v>30</v>
      </c>
    </row>
    <row r="45" customFormat="false" ht="75" hidden="false" customHeight="true" outlineLevel="0" collapsed="false">
      <c r="A45" s="24" t="s">
        <v>210</v>
      </c>
      <c r="B45" s="25" t="s">
        <v>211</v>
      </c>
      <c r="C45" s="26" t="s">
        <v>17</v>
      </c>
      <c r="D45" s="25" t="s">
        <v>212</v>
      </c>
      <c r="E45" s="26" t="s">
        <v>16</v>
      </c>
      <c r="F45" s="25" t="s">
        <v>213</v>
      </c>
      <c r="G45" s="26" t="s">
        <v>27</v>
      </c>
      <c r="H45" s="27" t="s">
        <v>28</v>
      </c>
    </row>
    <row r="46" customFormat="false" ht="59.25" hidden="false" customHeight="true" outlineLevel="0" collapsed="false">
      <c r="A46" s="24" t="s">
        <v>214</v>
      </c>
      <c r="B46" s="25" t="s">
        <v>215</v>
      </c>
      <c r="C46" s="26" t="s">
        <v>17</v>
      </c>
      <c r="D46" s="25" t="s">
        <v>216</v>
      </c>
      <c r="E46" s="26" t="s">
        <v>18</v>
      </c>
      <c r="F46" s="25" t="s">
        <v>217</v>
      </c>
      <c r="G46" s="26" t="s">
        <v>29</v>
      </c>
      <c r="H46" s="27" t="s">
        <v>30</v>
      </c>
    </row>
    <row r="47" customFormat="false" ht="50.25" hidden="false" customHeight="true" outlineLevel="0" collapsed="false">
      <c r="A47" s="24" t="s">
        <v>218</v>
      </c>
      <c r="B47" s="25" t="s">
        <v>219</v>
      </c>
      <c r="C47" s="26" t="s">
        <v>17</v>
      </c>
      <c r="D47" s="25" t="s">
        <v>220</v>
      </c>
      <c r="E47" s="26" t="s">
        <v>18</v>
      </c>
      <c r="F47" s="25" t="s">
        <v>221</v>
      </c>
      <c r="G47" s="26" t="s">
        <v>27</v>
      </c>
      <c r="H47" s="27" t="s">
        <v>30</v>
      </c>
    </row>
    <row r="48" customFormat="false" ht="45.75" hidden="false" customHeight="true" outlineLevel="0" collapsed="false">
      <c r="A48" s="24" t="s">
        <v>222</v>
      </c>
      <c r="B48" s="25" t="s">
        <v>223</v>
      </c>
      <c r="C48" s="26" t="s">
        <v>17</v>
      </c>
      <c r="D48" s="25" t="s">
        <v>224</v>
      </c>
      <c r="E48" s="26" t="s">
        <v>18</v>
      </c>
      <c r="F48" s="25" t="s">
        <v>225</v>
      </c>
      <c r="G48" s="26" t="s">
        <v>29</v>
      </c>
      <c r="H48" s="27" t="s">
        <v>30</v>
      </c>
    </row>
    <row r="49" customFormat="false" ht="61.5" hidden="false" customHeight="true" outlineLevel="0" collapsed="false">
      <c r="A49" s="24" t="s">
        <v>226</v>
      </c>
      <c r="B49" s="25" t="s">
        <v>227</v>
      </c>
      <c r="C49" s="26" t="s">
        <v>17</v>
      </c>
      <c r="D49" s="25" t="s">
        <v>228</v>
      </c>
      <c r="E49" s="26" t="s">
        <v>18</v>
      </c>
      <c r="F49" s="25" t="s">
        <v>229</v>
      </c>
      <c r="G49" s="26" t="s">
        <v>29</v>
      </c>
      <c r="H49" s="27" t="s">
        <v>30</v>
      </c>
    </row>
    <row r="50" customFormat="false" ht="54.75" hidden="false" customHeight="true" outlineLevel="0" collapsed="false">
      <c r="A50" s="24" t="s">
        <v>230</v>
      </c>
      <c r="B50" s="25" t="s">
        <v>231</v>
      </c>
      <c r="C50" s="26" t="s">
        <v>17</v>
      </c>
      <c r="D50" s="25" t="s">
        <v>232</v>
      </c>
      <c r="E50" s="26" t="s">
        <v>16</v>
      </c>
      <c r="F50" s="25" t="s">
        <v>233</v>
      </c>
      <c r="G50" s="26" t="s">
        <v>29</v>
      </c>
      <c r="H50" s="27" t="s">
        <v>30</v>
      </c>
    </row>
  </sheetData>
  <autoFilter ref="A3:H50"/>
  <mergeCells count="2">
    <mergeCell ref="A1:H1"/>
    <mergeCell ref="A2:H2"/>
  </mergeCells>
  <conditionalFormatting sqref="E4:E50">
    <cfRule type="cellIs" priority="2" operator="equal" aboveAverage="0" equalAverage="0" bottom="0" percent="0" rank="0" text="" dxfId="25">
      <formula>"Crític"</formula>
    </cfRule>
    <cfRule type="cellIs" priority="3" operator="equal" aboveAverage="0" equalAverage="0" bottom="0" percent="0" rank="0" text="" dxfId="26">
      <formula>"Alt"</formula>
    </cfRule>
    <cfRule type="cellIs" priority="4" operator="equal" aboveAverage="0" equalAverage="0" bottom="0" percent="0" rank="0" text="" dxfId="27">
      <formula>"Mitjà"</formula>
    </cfRule>
    <cfRule type="cellIs" priority="5" operator="equal" aboveAverage="0" equalAverage="0" bottom="0" percent="0" rank="0" text="" dxfId="28">
      <formula>"Baix"</formula>
    </cfRule>
  </conditionalFormatting>
  <conditionalFormatting sqref="G4:G50">
    <cfRule type="cellIs" priority="6" operator="equal" aboveAverage="0" equalAverage="0" bottom="0" percent="0" rank="0" text="" dxfId="25">
      <formula>"P1 - Immediata"</formula>
    </cfRule>
    <cfRule type="cellIs" priority="7" operator="equal" aboveAverage="0" equalAverage="0" bottom="0" percent="0" rank="0" text="" dxfId="27">
      <formula>"P2 - Curt termini"</formula>
    </cfRule>
    <cfRule type="cellIs" priority="8" operator="equal" aboveAverage="0" equalAverage="0" bottom="0" percent="0" rank="0" text="" dxfId="29">
      <formula>"P3 - Millora futura"</formula>
    </cfRule>
  </conditionalFormatting>
  <conditionalFormatting sqref="H4:H50">
    <cfRule type="cellIs" priority="9" operator="equal" aboveAverage="0" equalAverage="0" bottom="0" percent="0" rank="0" text="" dxfId="30">
      <formula>"Resolt"</formula>
    </cfRule>
    <cfRule type="cellIs" priority="10" operator="equal" aboveAverage="0" equalAverage="0" bottom="0" percent="0" rank="0" text="" dxfId="27">
      <formula>"En procés"</formula>
    </cfRule>
    <cfRule type="cellIs" priority="11" operator="equal" aboveAverage="0" equalAverage="0" bottom="0" percent="0" rank="0" text="" dxfId="31">
      <formula>"Pendent"</formula>
    </cfRule>
  </conditionalFormatting>
  <conditionalFormatting sqref="C4:C50">
    <cfRule type="cellIs" priority="12" operator="equal" aboveAverage="0" equalAverage="0" bottom="0" percent="0" rank="0" text="" dxfId="32">
      <formula>"Fallada funcional (Bug)"</formula>
    </cfRule>
    <cfRule type="cellIs" priority="13" operator="equal" aboveAverage="0" equalAverage="0" bottom="0" percent="0" rank="0" text="" dxfId="33">
      <formula>"Rendiment/Lentitud"</formula>
    </cfRule>
    <cfRule type="cellIs" priority="14" operator="equal" aboveAverage="0" equalAverage="0" bottom="0" percent="0" rank="0" text="" dxfId="34">
      <formula>"Error d'usabilitat (UX)"</formula>
    </cfRule>
    <cfRule type="cellIs" priority="15" operator="equal" aboveAverage="0" equalAverage="0" bottom="0" percent="0" rank="0" text="" dxfId="35">
      <formula>"Error de disseny (UI)"</formula>
    </cfRule>
  </conditionalFormatting>
  <dataValidations count="1">
    <dataValidation allowBlank="false" error="Fes servir només: Pendent, En procés o Resolt." errorStyle="stop" operator="between" prompt="Tria: Pendent · En procés · Resolt" promptTitle="Estat" showDropDown="false" showErrorMessage="false" showInputMessage="false" sqref="H4:H50" type="list">
      <formula1>"Pendent,En procés,Resolt"</formula1>
      <formula2>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2026-09-04T19:56:54Z</dcterms:created>
  <dc:creator>openpyxl</dc:creator>
  <dc:description/>
  <dc:language>en-US</dc:language>
  <cp:lastModifiedBy/>
  <dcterms:modified xsi:type="dcterms:W3CDTF">2026-09-04T19:57:02Z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